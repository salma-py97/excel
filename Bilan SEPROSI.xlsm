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bookViews>
    <workbookView xWindow="0" yWindow="0" windowWidth="20490" windowHeight="7020" tabRatio="520"/>
  </bookViews>
  <sheets>
    <sheet name="BILAN" sheetId="6" r:id="rId1"/>
    <sheet name="ESG" sheetId="1" r:id="rId2"/>
    <sheet name="RATIOS" sheetId="4" r:id="rId3"/>
  </sheets>
  <calcPr calcId="162913"/>
</workbook>
</file>

<file path=xl/calcChain.xml><?xml version="1.0" encoding="utf-8"?>
<calcChain xmlns="http://schemas.openxmlformats.org/spreadsheetml/2006/main">
  <c r="F32" i="1" l="1"/>
  <c r="F31" i="1"/>
  <c r="K12" i="6"/>
  <c r="K36" i="6"/>
  <c r="K32" i="6"/>
  <c r="K30" i="6"/>
  <c r="D31" i="6"/>
  <c r="D19" i="6"/>
  <c r="K9" i="6" l="1"/>
  <c r="D16" i="4" s="1"/>
  <c r="J9" i="6"/>
  <c r="C16" i="4" s="1"/>
  <c r="I9" i="6"/>
  <c r="B16" i="4" s="1"/>
  <c r="D5" i="1"/>
  <c r="C12" i="4" s="1"/>
  <c r="D13" i="4"/>
  <c r="C13" i="4"/>
  <c r="B13" i="4"/>
  <c r="D8" i="1"/>
  <c r="D12" i="1"/>
  <c r="D15" i="1"/>
  <c r="D33" i="1"/>
  <c r="D36" i="1"/>
  <c r="B8" i="1"/>
  <c r="B15" i="1"/>
  <c r="B12" i="1"/>
  <c r="B33" i="1"/>
  <c r="B36" i="1"/>
  <c r="F5" i="1"/>
  <c r="D11" i="4" s="1"/>
  <c r="B5" i="1"/>
  <c r="B12" i="4" s="1"/>
  <c r="B27" i="6"/>
  <c r="I27" i="6"/>
  <c r="F8" i="1"/>
  <c r="F15" i="1"/>
  <c r="F12" i="1"/>
  <c r="F33" i="1"/>
  <c r="F36" i="1"/>
  <c r="D13" i="6"/>
  <c r="C13" i="6"/>
  <c r="B13" i="6"/>
  <c r="B34" i="6"/>
  <c r="C34" i="6"/>
  <c r="D34" i="6"/>
  <c r="B17" i="6"/>
  <c r="B24" i="6" s="1"/>
  <c r="B9" i="6"/>
  <c r="C17" i="6"/>
  <c r="C9" i="6"/>
  <c r="D17" i="6"/>
  <c r="D9" i="6"/>
  <c r="I17" i="6"/>
  <c r="J17" i="6"/>
  <c r="K17" i="6"/>
  <c r="C27" i="6"/>
  <c r="D27" i="6"/>
  <c r="J27" i="6"/>
  <c r="K27" i="6"/>
  <c r="I34" i="6"/>
  <c r="J34" i="6"/>
  <c r="K34" i="6"/>
  <c r="G8" i="1" l="1"/>
  <c r="C5" i="4"/>
  <c r="C24" i="6"/>
  <c r="C7" i="6" s="1"/>
  <c r="C38" i="6" s="1"/>
  <c r="E15" i="1"/>
  <c r="E27" i="1"/>
  <c r="G29" i="1"/>
  <c r="E11" i="1"/>
  <c r="C21" i="4"/>
  <c r="C25" i="4" s="1"/>
  <c r="D24" i="6"/>
  <c r="D7" i="6" s="1"/>
  <c r="D38" i="6" s="1"/>
  <c r="C11" i="1"/>
  <c r="C8" i="4"/>
  <c r="G7" i="1"/>
  <c r="G23" i="1"/>
  <c r="G38" i="1"/>
  <c r="D22" i="4"/>
  <c r="D26" i="4" s="1"/>
  <c r="G14" i="1"/>
  <c r="G22" i="1"/>
  <c r="G28" i="1"/>
  <c r="G35" i="1"/>
  <c r="G15" i="1"/>
  <c r="E22" i="1"/>
  <c r="B16" i="1"/>
  <c r="C16" i="1" s="1"/>
  <c r="G10" i="1"/>
  <c r="G24" i="1"/>
  <c r="G32" i="1"/>
  <c r="D17" i="4"/>
  <c r="G6" i="1"/>
  <c r="G11" i="1"/>
  <c r="G27" i="1"/>
  <c r="G34" i="1"/>
  <c r="F16" i="1"/>
  <c r="G16" i="1" s="1"/>
  <c r="G33" i="1"/>
  <c r="D12" i="4"/>
  <c r="G12" i="1"/>
  <c r="D15" i="4"/>
  <c r="G9" i="1"/>
  <c r="G13" i="1"/>
  <c r="G26" i="1"/>
  <c r="G31" i="1"/>
  <c r="G36" i="1"/>
  <c r="D16" i="1"/>
  <c r="D21" i="1" s="1"/>
  <c r="E32" i="1"/>
  <c r="C15" i="4"/>
  <c r="E12" i="1"/>
  <c r="E23" i="1"/>
  <c r="E34" i="1"/>
  <c r="E36" i="1"/>
  <c r="C17" i="4"/>
  <c r="E9" i="1"/>
  <c r="E13" i="1"/>
  <c r="E24" i="1"/>
  <c r="E29" i="1"/>
  <c r="E35" i="1"/>
  <c r="E33" i="1"/>
  <c r="E6" i="1"/>
  <c r="E8" i="1"/>
  <c r="E28" i="1"/>
  <c r="E10" i="1"/>
  <c r="E14" i="1"/>
  <c r="E26" i="1"/>
  <c r="E31" i="1"/>
  <c r="E38" i="1"/>
  <c r="C11" i="4"/>
  <c r="E7" i="1"/>
  <c r="C38" i="1"/>
  <c r="C32" i="1"/>
  <c r="C10" i="1"/>
  <c r="C22" i="1"/>
  <c r="C27" i="1"/>
  <c r="B15" i="4"/>
  <c r="C6" i="1"/>
  <c r="C12" i="1"/>
  <c r="C23" i="1"/>
  <c r="C28" i="1"/>
  <c r="C33" i="1"/>
  <c r="C35" i="1"/>
  <c r="B11" i="4"/>
  <c r="C7" i="1"/>
  <c r="C14" i="1"/>
  <c r="C24" i="1"/>
  <c r="C29" i="1"/>
  <c r="C34" i="1"/>
  <c r="B17" i="4"/>
  <c r="C8" i="1"/>
  <c r="C15" i="1"/>
  <c r="C26" i="1"/>
  <c r="C31" i="1"/>
  <c r="C36" i="1"/>
  <c r="C13" i="1"/>
  <c r="D8" i="4"/>
  <c r="D5" i="4"/>
  <c r="D39" i="6"/>
  <c r="D19" i="4" s="1"/>
  <c r="K7" i="6"/>
  <c r="K38" i="6" s="1"/>
  <c r="C22" i="4"/>
  <c r="C26" i="4" s="1"/>
  <c r="B22" i="4"/>
  <c r="B26" i="4" s="1"/>
  <c r="B21" i="4"/>
  <c r="B25" i="4" s="1"/>
  <c r="J7" i="6"/>
  <c r="J38" i="6" s="1"/>
  <c r="I7" i="6"/>
  <c r="I38" i="6" s="1"/>
  <c r="B5" i="4"/>
  <c r="D21" i="4"/>
  <c r="D25" i="4" s="1"/>
  <c r="B8" i="4"/>
  <c r="B7" i="6"/>
  <c r="C39" i="6"/>
  <c r="C19" i="4" s="1"/>
  <c r="C9" i="1"/>
  <c r="B39" i="6"/>
  <c r="B19" i="4" s="1"/>
  <c r="F21" i="1" l="1"/>
  <c r="F25" i="1" s="1"/>
  <c r="B21" i="1"/>
  <c r="C21" i="1" s="1"/>
  <c r="E16" i="1"/>
  <c r="D25" i="1"/>
  <c r="D30" i="1" s="1"/>
  <c r="E21" i="1"/>
  <c r="I39" i="6"/>
  <c r="B20" i="4" s="1"/>
  <c r="B24" i="4" s="1"/>
  <c r="K39" i="6"/>
  <c r="D20" i="4" s="1"/>
  <c r="D24" i="4" s="1"/>
  <c r="J39" i="6"/>
  <c r="C20" i="4" s="1"/>
  <c r="C23" i="4" s="1"/>
  <c r="B38" i="6"/>
  <c r="G21" i="1" l="1"/>
  <c r="B25" i="1"/>
  <c r="C25" i="1" s="1"/>
  <c r="E25" i="1"/>
  <c r="C24" i="4"/>
  <c r="B23" i="4"/>
  <c r="D23" i="4"/>
  <c r="F30" i="1"/>
  <c r="G25" i="1"/>
  <c r="E30" i="1"/>
  <c r="D37" i="1"/>
  <c r="B30" i="1" l="1"/>
  <c r="C30" i="1" s="1"/>
  <c r="G30" i="1"/>
  <c r="F37" i="1"/>
  <c r="E37" i="1"/>
  <c r="D39" i="1"/>
  <c r="B37" i="1" l="1"/>
  <c r="C37" i="1" s="1"/>
  <c r="F39" i="1"/>
  <c r="G37" i="1"/>
  <c r="D40" i="1"/>
  <c r="E39" i="1"/>
  <c r="B39" i="1" l="1"/>
  <c r="B40" i="1" s="1"/>
  <c r="G39" i="1"/>
  <c r="F40" i="1"/>
  <c r="C9" i="4"/>
  <c r="C6" i="4"/>
  <c r="E40" i="1"/>
  <c r="C39" i="1" l="1"/>
  <c r="B9" i="4"/>
  <c r="B6" i="4"/>
  <c r="C40" i="1"/>
  <c r="D6" i="4"/>
  <c r="G40" i="1"/>
  <c r="D9" i="4"/>
</calcChain>
</file>

<file path=xl/sharedStrings.xml><?xml version="1.0" encoding="utf-8"?>
<sst xmlns="http://schemas.openxmlformats.org/spreadsheetml/2006/main" count="143" uniqueCount="119">
  <si>
    <t>II-ANALYSE DES COMPTES DE RESULTAT</t>
  </si>
  <si>
    <t>ANALYSE DE L'ACTIVITE</t>
  </si>
  <si>
    <t>N-2</t>
  </si>
  <si>
    <t>N-1</t>
  </si>
  <si>
    <t>N</t>
  </si>
  <si>
    <t>Montant</t>
  </si>
  <si>
    <t>(%) CA</t>
  </si>
  <si>
    <t>(A) Ventes de marchandises en l'état</t>
  </si>
  <si>
    <t xml:space="preserve">(B) Achats revendus de marchandises    </t>
  </si>
  <si>
    <t xml:space="preserve">(C) Ventes de biens et services produits  </t>
  </si>
  <si>
    <t>(D) Variation stocks de produits</t>
  </si>
  <si>
    <t>(E) Immob. produites par l'entrep. pour elle-même</t>
  </si>
  <si>
    <t>(F) Achats consommés de matières et fournitures</t>
  </si>
  <si>
    <t>(G) Autres charges externes</t>
  </si>
  <si>
    <t xml:space="preserve">     </t>
  </si>
  <si>
    <t>ANALYSE DE LA RENTABILITE</t>
  </si>
  <si>
    <t>(H) Subventions d'exploitation</t>
  </si>
  <si>
    <t>(I) Impôts et taxes</t>
  </si>
  <si>
    <t xml:space="preserve">(J) Charges de personnel  </t>
  </si>
  <si>
    <t>(K) Autres produits d'exploit.</t>
  </si>
  <si>
    <t>(L) Autres charges d'exploit.</t>
  </si>
  <si>
    <t>(M) Reprises d'exploitation (transferts de charges)</t>
  </si>
  <si>
    <t>(N) Dotations d'exploitation</t>
  </si>
  <si>
    <t>(O) Produits financiers</t>
  </si>
  <si>
    <t>(P) Charges financières</t>
  </si>
  <si>
    <t>(Q) Produits non courants</t>
  </si>
  <si>
    <t>(R) Charges non courantes</t>
  </si>
  <si>
    <t>(S) Impôt sur les résultats</t>
  </si>
  <si>
    <r>
      <t xml:space="preserve">I- </t>
    </r>
    <r>
      <rPr>
        <b/>
        <u/>
        <sz val="6"/>
        <rFont val="Arial"/>
        <family val="2"/>
      </rPr>
      <t>CHIFFRE D'AFFAIRES H.T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>(A + C)</t>
    </r>
  </si>
  <si>
    <r>
      <t>II-</t>
    </r>
    <r>
      <rPr>
        <b/>
        <u/>
        <sz val="6"/>
        <rFont val="Arial"/>
        <family val="2"/>
      </rPr>
      <t xml:space="preserve"> MARGE BRUTE / VENTES EN L'ETAT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>(A – B)</t>
    </r>
  </si>
  <si>
    <r>
      <t xml:space="preserve">III- </t>
    </r>
    <r>
      <rPr>
        <b/>
        <u/>
        <sz val="6"/>
        <rFont val="Arial"/>
        <family val="2"/>
      </rPr>
      <t>PRODUCTION DE L'EXERCICE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 xml:space="preserve">(C + D + E) </t>
    </r>
    <r>
      <rPr>
        <b/>
        <sz val="6"/>
        <rFont val="Arial"/>
        <family val="2"/>
      </rPr>
      <t xml:space="preserve"> </t>
    </r>
  </si>
  <si>
    <r>
      <t xml:space="preserve">IV- </t>
    </r>
    <r>
      <rPr>
        <b/>
        <u/>
        <sz val="6"/>
        <rFont val="Arial"/>
        <family val="2"/>
      </rPr>
      <t>CONSOMMATION DE L'EXERCICE</t>
    </r>
    <r>
      <rPr>
        <sz val="6"/>
        <rFont val="Arial"/>
        <family val="2"/>
      </rPr>
      <t xml:space="preserve"> (F + G)</t>
    </r>
    <r>
      <rPr>
        <b/>
        <sz val="6"/>
        <rFont val="Arial"/>
        <family val="2"/>
      </rPr>
      <t xml:space="preserve">  </t>
    </r>
  </si>
  <si>
    <r>
      <t xml:space="preserve">V- </t>
    </r>
    <r>
      <rPr>
        <b/>
        <u/>
        <sz val="6"/>
        <rFont val="Arial"/>
        <family val="2"/>
      </rPr>
      <t>VALEUR AJOUTEE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 xml:space="preserve">(II+III - IV) </t>
    </r>
  </si>
  <si>
    <r>
      <t xml:space="preserve">V- </t>
    </r>
    <r>
      <rPr>
        <b/>
        <u/>
        <sz val="6"/>
        <rFont val="Arial"/>
        <family val="2"/>
      </rPr>
      <t>VALEUR AJOUTEE</t>
    </r>
    <r>
      <rPr>
        <b/>
        <sz val="6"/>
        <rFont val="Arial"/>
        <family val="2"/>
      </rPr>
      <t xml:space="preserve"> </t>
    </r>
  </si>
  <si>
    <r>
      <t xml:space="preserve">VI- </t>
    </r>
    <r>
      <rPr>
        <b/>
        <u/>
        <sz val="6"/>
        <rFont val="Arial"/>
        <family val="2"/>
      </rPr>
      <t>EXCEDENT BRUT D'EXPLOITATION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>(V+H-I-J)</t>
    </r>
  </si>
  <si>
    <r>
      <t xml:space="preserve">VII- </t>
    </r>
    <r>
      <rPr>
        <b/>
        <u/>
        <sz val="6"/>
        <rFont val="Arial"/>
        <family val="2"/>
      </rPr>
      <t>RESULTAT D'EXPLOITATION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>(VI+K–L+M–N)</t>
    </r>
  </si>
  <si>
    <r>
      <t xml:space="preserve">VIII- </t>
    </r>
    <r>
      <rPr>
        <b/>
        <u/>
        <sz val="6"/>
        <rFont val="Arial"/>
        <family val="2"/>
      </rPr>
      <t>RESULTAT FINANCIER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>(O-P)</t>
    </r>
  </si>
  <si>
    <r>
      <t xml:space="preserve">IX- </t>
    </r>
    <r>
      <rPr>
        <b/>
        <u/>
        <sz val="6"/>
        <rFont val="Arial"/>
        <family val="2"/>
      </rPr>
      <t>RESULTAT NON COURANT</t>
    </r>
    <r>
      <rPr>
        <sz val="6"/>
        <rFont val="Arial"/>
        <family val="2"/>
      </rPr>
      <t>(Q–R)</t>
    </r>
  </si>
  <si>
    <r>
      <t xml:space="preserve">X- </t>
    </r>
    <r>
      <rPr>
        <b/>
        <u/>
        <sz val="6"/>
        <rFont val="Arial"/>
        <family val="2"/>
      </rPr>
      <t>RESULTAT AVANT IMPÔT</t>
    </r>
    <r>
      <rPr>
        <sz val="6"/>
        <rFont val="Arial"/>
        <family val="2"/>
      </rPr>
      <t>(VII+VIII+IX)</t>
    </r>
  </si>
  <si>
    <r>
      <t xml:space="preserve">XI- </t>
    </r>
    <r>
      <rPr>
        <b/>
        <u/>
        <sz val="6"/>
        <rFont val="Arial"/>
        <family val="2"/>
      </rPr>
      <t xml:space="preserve">RESULTAT NET DE L'EXERCICE </t>
    </r>
    <r>
      <rPr>
        <sz val="6"/>
        <rFont val="Arial"/>
        <family val="2"/>
      </rPr>
      <t>(X-S)</t>
    </r>
  </si>
  <si>
    <r>
      <t xml:space="preserve">XII- </t>
    </r>
    <r>
      <rPr>
        <b/>
        <u/>
        <sz val="6"/>
        <rFont val="Arial"/>
        <family val="2"/>
      </rPr>
      <t>CASH-FLOW</t>
    </r>
    <r>
      <rPr>
        <b/>
        <sz val="6"/>
        <rFont val="Arial"/>
        <family val="2"/>
      </rPr>
      <t xml:space="preserve"> </t>
    </r>
    <r>
      <rPr>
        <sz val="6"/>
        <rFont val="Arial"/>
        <family val="2"/>
      </rPr>
      <t>(N+XI)</t>
    </r>
  </si>
  <si>
    <t>III/ RATIOS :</t>
  </si>
  <si>
    <t>PERIODES</t>
  </si>
  <si>
    <t>Rentabilité :</t>
  </si>
  <si>
    <t>Rentabilité financière : Résultat net / Capitaux propres</t>
  </si>
  <si>
    <t>Rentabilité globale : Cash-flow / Chiffre d'affaires</t>
  </si>
  <si>
    <t>Liquidité :</t>
  </si>
  <si>
    <t>Endettement à court terme : Actif cir./ passif circulant</t>
  </si>
  <si>
    <t>Capacité de remboursement : Cash-flow / DMLT</t>
  </si>
  <si>
    <t>Stocks en cours / Chiffre d'affaires</t>
  </si>
  <si>
    <t>Clients en cours / Chiffre d'affaires</t>
  </si>
  <si>
    <t>Fournisseurs en cours / Achats</t>
  </si>
  <si>
    <t>Endettement financier :</t>
  </si>
  <si>
    <t>Endettement bancaire : Trésorerie passif en cours / CA</t>
  </si>
  <si>
    <t xml:space="preserve">Autonomie financière  DMLT/ Cap. propres </t>
  </si>
  <si>
    <t>Poids des charges fin. : Charges financières / CA</t>
  </si>
  <si>
    <t>Structure financière :</t>
  </si>
  <si>
    <t>Actif net comptable</t>
  </si>
  <si>
    <t>Fonds de roulement</t>
  </si>
  <si>
    <t>Besoins en Fonds de roulement d'exploitation</t>
  </si>
  <si>
    <t>Trésorerie nette</t>
  </si>
  <si>
    <t>Taux de couverture BFR par le FDR</t>
  </si>
  <si>
    <t>FDR en jours Chiffre d'affaires HT</t>
  </si>
  <si>
    <t>BFR en jours Chiffre d'affaires</t>
  </si>
  <si>
    <t>Trésorerie en jours Chiffre d'affaires HT</t>
  </si>
  <si>
    <t xml:space="preserve">I- DEPOUILLEMENT DES BILANS AU : </t>
  </si>
  <si>
    <t>ACTIF</t>
  </si>
  <si>
    <t>PASSIF</t>
  </si>
  <si>
    <t xml:space="preserve">(A) Imm. en non valeurs </t>
  </si>
  <si>
    <t>(N) Capitaux propres</t>
  </si>
  <si>
    <t xml:space="preserve">  -Frais préliminaires</t>
  </si>
  <si>
    <t xml:space="preserve">  -Capital social ou personnel</t>
  </si>
  <si>
    <t xml:space="preserve">  -Charges à répartir sur plusieurs exercices</t>
  </si>
  <si>
    <t xml:space="preserve">  -Capital non verse  (à déduire) </t>
  </si>
  <si>
    <t xml:space="preserve">  -Associés débiteurs</t>
  </si>
  <si>
    <t xml:space="preserve">  -Réserves</t>
  </si>
  <si>
    <t>(B) Imm. incorporelles</t>
  </si>
  <si>
    <t xml:space="preserve">  -Report à nouveau (+) ou (-)</t>
  </si>
  <si>
    <t xml:space="preserve">  -Fonds commercial</t>
  </si>
  <si>
    <t xml:space="preserve">  -Résultat net  (+) ou (-)</t>
  </si>
  <si>
    <t xml:space="preserve">  -Autres</t>
  </si>
  <si>
    <t>(C) Imm. corporelles</t>
  </si>
  <si>
    <t>(O) Dettes de financement</t>
  </si>
  <si>
    <t xml:space="preserve">  -Terrains &amp; construct.</t>
  </si>
  <si>
    <t xml:space="preserve">  -Crédits bancaires</t>
  </si>
  <si>
    <t xml:space="preserve">  -Matériels et agencts. </t>
  </si>
  <si>
    <t xml:space="preserve">  -Autres dettes</t>
  </si>
  <si>
    <t xml:space="preserve">  -Autres Immobilisations</t>
  </si>
  <si>
    <t xml:space="preserve">  -C/C associes bloqués</t>
  </si>
  <si>
    <t xml:space="preserve">  -Immobilisation en cours</t>
  </si>
  <si>
    <t xml:space="preserve">  -Provisions durables  </t>
  </si>
  <si>
    <t>(D)  Immob. Financières</t>
  </si>
  <si>
    <t>(E) Sous total (B+C+D)</t>
  </si>
  <si>
    <t>(F) Amortis. &amp; Provisions</t>
  </si>
  <si>
    <t>(G) Stocks</t>
  </si>
  <si>
    <t>(P) Fournisseurs</t>
  </si>
  <si>
    <t>(H) Clients</t>
  </si>
  <si>
    <t>(Q) Etat &amp; organismes sociaux</t>
  </si>
  <si>
    <t>(I) Divers</t>
  </si>
  <si>
    <t>(R) C/C associes non bloqués</t>
  </si>
  <si>
    <t>(S) Divers</t>
  </si>
  <si>
    <t>III- TRESORERIE ACTIF</t>
  </si>
  <si>
    <t>VI- TRESORERIE PASSIF</t>
  </si>
  <si>
    <t xml:space="preserve">  -Banque, caisse et CCP</t>
  </si>
  <si>
    <t xml:space="preserve">   -Crédits bancaires</t>
  </si>
  <si>
    <t>TOTAL ACTIF (I+II+III)</t>
  </si>
  <si>
    <t>TOTAL PASSIF (IV+V+VI)</t>
  </si>
  <si>
    <t>ANC (N – A)</t>
  </si>
  <si>
    <t>FDR (IV – I)</t>
  </si>
  <si>
    <r>
      <t xml:space="preserve">I- ACTIF IMMOBILISE NET </t>
    </r>
    <r>
      <rPr>
        <sz val="8"/>
        <rFont val="Arial"/>
        <family val="2"/>
      </rPr>
      <t>(A+E-F)</t>
    </r>
  </si>
  <si>
    <r>
      <t>IV- FINANCEMENT PERMANENT</t>
    </r>
    <r>
      <rPr>
        <sz val="8"/>
        <rFont val="Arial"/>
        <family val="2"/>
      </rPr>
      <t xml:space="preserve">  (N+O)</t>
    </r>
  </si>
  <si>
    <r>
      <t xml:space="preserve">II- ACTIF CIRCULANT </t>
    </r>
    <r>
      <rPr>
        <sz val="8"/>
        <rFont val="Arial"/>
        <family val="2"/>
      </rPr>
      <t>(G+H+I)</t>
    </r>
  </si>
  <si>
    <r>
      <t xml:space="preserve">V- DETTES DU PASSIF CIRCULANT </t>
    </r>
    <r>
      <rPr>
        <sz val="8"/>
        <rFont val="Arial"/>
        <family val="2"/>
      </rPr>
      <t>(P+Q+R+S)</t>
    </r>
  </si>
  <si>
    <t>(En milliers de dirhams)</t>
  </si>
  <si>
    <t xml:space="preserve">  -Ecart de réévaluation</t>
  </si>
  <si>
    <t xml:space="preserve">  -Prime de fusion</t>
  </si>
  <si>
    <t>Rotation &amp; délais en jours :</t>
  </si>
  <si>
    <t>SEPROSI</t>
  </si>
  <si>
    <t>2015/2016/2017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</si>
</sst>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\ mmmm\ yyyy"/>
  </numFmts>
  <fonts count="1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6"/>
      <name val="Arial"/>
      <family val="2"/>
    </font>
    <font>
      <b/>
      <sz val="6"/>
      <name val="Arial"/>
      <family val="2"/>
    </font>
    <font>
      <i/>
      <sz val="6"/>
      <name val="Arial"/>
      <family val="2"/>
    </font>
    <font>
      <b/>
      <i/>
      <sz val="6"/>
      <color indexed="9"/>
      <name val="Arial"/>
      <family val="2"/>
    </font>
    <font>
      <b/>
      <sz val="6"/>
      <color indexed="9"/>
      <name val="Arial"/>
      <family val="2"/>
    </font>
    <font>
      <b/>
      <u/>
      <sz val="6"/>
      <name val="Arial"/>
      <family val="2"/>
    </font>
    <font>
      <b/>
      <sz val="11"/>
      <name val="Arial"/>
      <family val="2"/>
    </font>
    <font>
      <b/>
      <i/>
      <sz val="8"/>
      <color indexed="9"/>
      <name val="Arial"/>
      <family val="2"/>
    </font>
    <font>
      <b/>
      <sz val="8"/>
      <color indexed="9"/>
      <name val="Arial"/>
      <family val="2"/>
    </font>
    <font>
      <b/>
      <i/>
      <sz val="8"/>
      <color indexed="63"/>
      <name val="Arial"/>
      <family val="2"/>
    </font>
    <font>
      <i/>
      <sz val="10"/>
      <color indexed="63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3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 style="hair">
        <color indexed="64"/>
      </right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0">
    <xf numFmtId="0" fontId="0" fillId="0" borderId="0" xfId="0"/>
    <xf numFmtId="0" fontId="2" fillId="0" borderId="0" xfId="0" applyFont="1" applyBorder="1" applyAlignment="1" applyProtection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right" vertical="center"/>
    </xf>
    <xf numFmtId="0" fontId="4" fillId="0" borderId="4" xfId="0" applyFont="1" applyFill="1" applyBorder="1" applyAlignment="1">
      <alignment vertical="center"/>
    </xf>
    <xf numFmtId="3" fontId="4" fillId="0" borderId="5" xfId="0" applyNumberFormat="1" applyFont="1" applyFill="1" applyBorder="1" applyAlignment="1">
      <alignment horizontal="right" vertical="center" wrapText="1"/>
    </xf>
    <xf numFmtId="0" fontId="3" fillId="0" borderId="4" xfId="0" applyFont="1" applyBorder="1" applyAlignment="1">
      <alignment vertical="center"/>
    </xf>
    <xf numFmtId="3" fontId="3" fillId="0" borderId="5" xfId="0" applyNumberFormat="1" applyFont="1" applyBorder="1" applyAlignment="1" applyProtection="1">
      <alignment horizontal="right" vertical="center"/>
      <protection locked="0"/>
    </xf>
    <xf numFmtId="3" fontId="4" fillId="0" borderId="5" xfId="0" applyNumberFormat="1" applyFont="1" applyFill="1" applyBorder="1" applyAlignment="1">
      <alignment horizontal="right" vertical="center"/>
    </xf>
    <xf numFmtId="9" fontId="4" fillId="0" borderId="4" xfId="1" applyFont="1" applyFill="1" applyBorder="1" applyAlignment="1">
      <alignment vertical="center"/>
    </xf>
    <xf numFmtId="0" fontId="3" fillId="0" borderId="0" xfId="0" applyFont="1" applyBorder="1" applyAlignment="1">
      <alignment horizontal="center"/>
    </xf>
    <xf numFmtId="0" fontId="7" fillId="2" borderId="6" xfId="0" applyFont="1" applyFill="1" applyBorder="1" applyAlignment="1" applyProtection="1">
      <alignment horizontal="center" vertical="center"/>
    </xf>
    <xf numFmtId="0" fontId="7" fillId="2" borderId="7" xfId="0" applyFont="1" applyFill="1" applyBorder="1" applyAlignment="1" applyProtection="1">
      <alignment horizontal="center" vertical="center"/>
    </xf>
    <xf numFmtId="0" fontId="7" fillId="2" borderId="8" xfId="0" applyFont="1" applyFill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left" vertical="center"/>
    </xf>
    <xf numFmtId="3" fontId="4" fillId="0" borderId="5" xfId="0" applyNumberFormat="1" applyFont="1" applyBorder="1" applyAlignment="1" applyProtection="1">
      <alignment vertical="center"/>
    </xf>
    <xf numFmtId="10" fontId="4" fillId="3" borderId="4" xfId="1" applyNumberFormat="1" applyFont="1" applyFill="1" applyBorder="1" applyAlignment="1" applyProtection="1">
      <alignment horizontal="right" vertical="center"/>
    </xf>
    <xf numFmtId="0" fontId="3" fillId="0" borderId="4" xfId="0" applyFont="1" applyBorder="1" applyAlignment="1" applyProtection="1">
      <alignment horizontal="left" vertical="center"/>
    </xf>
    <xf numFmtId="3" fontId="3" fillId="0" borderId="5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center"/>
    </xf>
    <xf numFmtId="0" fontId="10" fillId="2" borderId="9" xfId="0" applyFont="1" applyFill="1" applyBorder="1" applyAlignment="1" applyProtection="1">
      <alignment horizontal="left" vertical="center"/>
    </xf>
    <xf numFmtId="0" fontId="11" fillId="2" borderId="10" xfId="0" applyFont="1" applyFill="1" applyBorder="1" applyAlignment="1" applyProtection="1">
      <alignment horizontal="center" vertical="center"/>
    </xf>
    <xf numFmtId="0" fontId="11" fillId="2" borderId="11" xfId="0" applyFont="1" applyFill="1" applyBorder="1" applyAlignment="1" applyProtection="1">
      <alignment horizontal="center" vertical="center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right"/>
    </xf>
    <xf numFmtId="14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0" xfId="0" applyFont="1"/>
    <xf numFmtId="0" fontId="17" fillId="0" borderId="0" xfId="0" applyFont="1" applyAlignment="1">
      <alignment horizontal="center"/>
    </xf>
    <xf numFmtId="0" fontId="11" fillId="4" borderId="12" xfId="0" applyFont="1" applyFill="1" applyBorder="1" applyAlignment="1">
      <alignment horizontal="left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6" fillId="3" borderId="14" xfId="0" applyFont="1" applyFill="1" applyBorder="1" applyAlignment="1">
      <alignment vertical="center" wrapText="1"/>
    </xf>
    <xf numFmtId="3" fontId="16" fillId="3" borderId="15" xfId="0" applyNumberFormat="1" applyFont="1" applyFill="1" applyBorder="1" applyAlignment="1">
      <alignment vertical="center" wrapText="1"/>
    </xf>
    <xf numFmtId="3" fontId="16" fillId="3" borderId="16" xfId="0" applyNumberFormat="1" applyFont="1" applyFill="1" applyBorder="1" applyAlignment="1">
      <alignment vertical="center" wrapText="1"/>
    </xf>
    <xf numFmtId="3" fontId="16" fillId="3" borderId="17" xfId="0" applyNumberFormat="1" applyFont="1" applyFill="1" applyBorder="1" applyAlignment="1">
      <alignment vertical="center" wrapText="1"/>
    </xf>
    <xf numFmtId="3" fontId="2" fillId="0" borderId="18" xfId="0" applyNumberFormat="1" applyFont="1" applyBorder="1" applyAlignment="1" applyProtection="1">
      <alignment vertical="center" wrapText="1"/>
      <protection locked="0"/>
    </xf>
    <xf numFmtId="0" fontId="2" fillId="0" borderId="18" xfId="0" applyFont="1" applyBorder="1" applyAlignment="1">
      <alignment vertical="center"/>
    </xf>
    <xf numFmtId="0" fontId="16" fillId="0" borderId="19" xfId="0" applyFont="1" applyBorder="1" applyAlignment="1">
      <alignment vertical="center" wrapText="1"/>
    </xf>
    <xf numFmtId="3" fontId="16" fillId="0" borderId="19" xfId="0" applyNumberFormat="1" applyFont="1" applyBorder="1" applyAlignment="1">
      <alignment vertical="center" wrapText="1"/>
    </xf>
    <xf numFmtId="3" fontId="16" fillId="0" borderId="20" xfId="0" applyNumberFormat="1" applyFont="1" applyBorder="1" applyAlignment="1">
      <alignment vertical="center" wrapText="1"/>
    </xf>
    <xf numFmtId="3" fontId="16" fillId="0" borderId="21" xfId="0" applyNumberFormat="1" applyFont="1" applyBorder="1" applyAlignment="1">
      <alignment vertical="center" wrapText="1"/>
    </xf>
    <xf numFmtId="3" fontId="2" fillId="0" borderId="22" xfId="0" applyNumberFormat="1" applyFont="1" applyBorder="1" applyAlignment="1" applyProtection="1">
      <alignment vertical="center" wrapText="1"/>
      <protection locked="0"/>
    </xf>
    <xf numFmtId="3" fontId="2" fillId="0" borderId="7" xfId="0" applyNumberFormat="1" applyFont="1" applyBorder="1" applyProtection="1">
      <protection locked="0"/>
    </xf>
    <xf numFmtId="0" fontId="16" fillId="0" borderId="18" xfId="0" applyFont="1" applyBorder="1" applyAlignment="1">
      <alignment vertical="center" wrapText="1"/>
    </xf>
    <xf numFmtId="3" fontId="16" fillId="0" borderId="18" xfId="0" applyNumberFormat="1" applyFont="1" applyBorder="1" applyAlignment="1">
      <alignment vertical="center" wrapText="1"/>
    </xf>
    <xf numFmtId="3" fontId="16" fillId="0" borderId="22" xfId="0" applyNumberFormat="1" applyFont="1" applyBorder="1" applyAlignment="1">
      <alignment vertical="center" wrapText="1"/>
    </xf>
    <xf numFmtId="3" fontId="16" fillId="0" borderId="7" xfId="0" applyNumberFormat="1" applyFont="1" applyBorder="1" applyAlignment="1">
      <alignment vertical="center" wrapText="1"/>
    </xf>
    <xf numFmtId="0" fontId="2" fillId="0" borderId="18" xfId="0" applyFont="1" applyBorder="1" applyAlignment="1">
      <alignment vertical="center" wrapText="1"/>
    </xf>
    <xf numFmtId="3" fontId="2" fillId="0" borderId="12" xfId="0" applyNumberFormat="1" applyFont="1" applyBorder="1" applyAlignment="1" applyProtection="1">
      <alignment vertical="center" wrapText="1"/>
      <protection locked="0"/>
    </xf>
    <xf numFmtId="3" fontId="2" fillId="0" borderId="2" xfId="0" applyNumberFormat="1" applyFont="1" applyBorder="1" applyProtection="1">
      <protection locked="0"/>
    </xf>
    <xf numFmtId="3" fontId="16" fillId="0" borderId="22" xfId="0" applyNumberFormat="1" applyFont="1" applyBorder="1" applyAlignment="1" applyProtection="1">
      <alignment vertical="center" wrapText="1"/>
      <protection locked="0"/>
    </xf>
    <xf numFmtId="3" fontId="2" fillId="0" borderId="18" xfId="0" applyNumberFormat="1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3" fontId="2" fillId="0" borderId="12" xfId="0" applyNumberFormat="1" applyFont="1" applyBorder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0" fontId="16" fillId="0" borderId="23" xfId="0" applyFont="1" applyBorder="1" applyAlignment="1">
      <alignment horizontal="left" vertical="center" wrapText="1"/>
    </xf>
    <xf numFmtId="0" fontId="2" fillId="0" borderId="19" xfId="0" applyFont="1" applyBorder="1" applyAlignment="1">
      <alignment vertical="center" wrapText="1"/>
    </xf>
    <xf numFmtId="3" fontId="2" fillId="0" borderId="20" xfId="0" applyNumberFormat="1" applyFont="1" applyBorder="1" applyAlignment="1" applyProtection="1">
      <alignment horizontal="right" vertical="center" wrapText="1"/>
      <protection locked="0"/>
    </xf>
    <xf numFmtId="3" fontId="17" fillId="0" borderId="21" xfId="0" applyNumberFormat="1" applyFont="1" applyBorder="1" applyProtection="1">
      <protection locked="0"/>
    </xf>
    <xf numFmtId="3" fontId="2" fillId="0" borderId="22" xfId="0" applyNumberFormat="1" applyFont="1" applyBorder="1" applyAlignment="1" applyProtection="1">
      <alignment horizontal="right" vertical="center" wrapText="1"/>
      <protection locked="0"/>
    </xf>
    <xf numFmtId="3" fontId="17" fillId="0" borderId="7" xfId="0" applyNumberFormat="1" applyFont="1" applyBorder="1" applyProtection="1">
      <protection locked="0"/>
    </xf>
    <xf numFmtId="0" fontId="2" fillId="0" borderId="12" xfId="0" applyFont="1" applyBorder="1" applyAlignment="1">
      <alignment horizontal="left" vertical="center" wrapText="1"/>
    </xf>
    <xf numFmtId="3" fontId="2" fillId="0" borderId="12" xfId="0" applyNumberFormat="1" applyFont="1" applyBorder="1" applyAlignment="1" applyProtection="1">
      <alignment horizontal="right" vertical="center"/>
      <protection locked="0"/>
    </xf>
    <xf numFmtId="3" fontId="2" fillId="0" borderId="13" xfId="0" applyNumberFormat="1" applyFont="1" applyBorder="1" applyAlignment="1" applyProtection="1">
      <alignment horizontal="right" vertical="center"/>
      <protection locked="0"/>
    </xf>
    <xf numFmtId="3" fontId="17" fillId="0" borderId="12" xfId="0" applyNumberFormat="1" applyFont="1" applyBorder="1" applyAlignment="1" applyProtection="1">
      <alignment vertical="center" wrapText="1"/>
      <protection locked="0"/>
    </xf>
    <xf numFmtId="3" fontId="17" fillId="0" borderId="2" xfId="0" applyNumberFormat="1" applyFont="1" applyBorder="1" applyProtection="1">
      <protection locked="0"/>
    </xf>
    <xf numFmtId="0" fontId="16" fillId="0" borderId="12" xfId="0" applyFont="1" applyBorder="1" applyAlignment="1">
      <alignment horizontal="center" vertical="center"/>
    </xf>
    <xf numFmtId="3" fontId="2" fillId="0" borderId="12" xfId="0" applyNumberFormat="1" applyFont="1" applyBorder="1" applyAlignment="1">
      <alignment horizontal="right" vertical="center"/>
    </xf>
    <xf numFmtId="3" fontId="2" fillId="0" borderId="24" xfId="0" applyNumberFormat="1" applyFont="1" applyBorder="1" applyAlignment="1" applyProtection="1">
      <alignment horizontal="right" vertical="center"/>
      <protection locked="0"/>
    </xf>
    <xf numFmtId="0" fontId="2" fillId="0" borderId="18" xfId="0" applyFont="1" applyBorder="1" applyAlignment="1">
      <alignment horizontal="left" vertical="center" wrapText="1"/>
    </xf>
    <xf numFmtId="3" fontId="2" fillId="0" borderId="18" xfId="0" applyNumberFormat="1" applyFont="1" applyBorder="1" applyAlignment="1" applyProtection="1">
      <alignment horizontal="right" vertical="center"/>
      <protection locked="0"/>
    </xf>
    <xf numFmtId="3" fontId="2" fillId="0" borderId="25" xfId="0" applyNumberFormat="1" applyFont="1" applyBorder="1" applyAlignment="1" applyProtection="1">
      <alignment horizontal="right" vertical="center"/>
      <protection locked="0"/>
    </xf>
    <xf numFmtId="0" fontId="2" fillId="0" borderId="26" xfId="0" applyFont="1" applyBorder="1" applyAlignment="1">
      <alignment horizontal="left" vertical="center"/>
    </xf>
    <xf numFmtId="0" fontId="11" fillId="2" borderId="27" xfId="0" applyFont="1" applyFill="1" applyBorder="1" applyAlignment="1">
      <alignment horizontal="left" vertical="center" wrapText="1"/>
    </xf>
    <xf numFmtId="3" fontId="11" fillId="2" borderId="27" xfId="0" applyNumberFormat="1" applyFont="1" applyFill="1" applyBorder="1" applyAlignment="1">
      <alignment vertical="center" wrapText="1"/>
    </xf>
    <xf numFmtId="3" fontId="11" fillId="2" borderId="28" xfId="0" applyNumberFormat="1" applyFont="1" applyFill="1" applyBorder="1" applyAlignment="1">
      <alignment vertical="center" wrapText="1"/>
    </xf>
    <xf numFmtId="3" fontId="11" fillId="2" borderId="18" xfId="0" applyNumberFormat="1" applyFont="1" applyFill="1" applyBorder="1" applyAlignment="1">
      <alignment vertical="center" wrapText="1"/>
    </xf>
    <xf numFmtId="3" fontId="11" fillId="2" borderId="7" xfId="0" applyNumberFormat="1" applyFont="1" applyFill="1" applyBorder="1" applyAlignment="1">
      <alignment vertical="center" wrapText="1"/>
    </xf>
    <xf numFmtId="0" fontId="16" fillId="3" borderId="14" xfId="0" applyFont="1" applyFill="1" applyBorder="1" applyAlignment="1">
      <alignment horizontal="left" vertical="center" wrapText="1"/>
    </xf>
    <xf numFmtId="3" fontId="16" fillId="3" borderId="29" xfId="0" applyNumberFormat="1" applyFont="1" applyFill="1" applyBorder="1" applyAlignment="1">
      <alignment vertical="center" wrapText="1"/>
    </xf>
    <xf numFmtId="3" fontId="16" fillId="3" borderId="24" xfId="0" applyNumberFormat="1" applyFont="1" applyFill="1" applyBorder="1" applyAlignment="1">
      <alignment vertical="center" wrapText="1"/>
    </xf>
    <xf numFmtId="0" fontId="2" fillId="0" borderId="0" xfId="0" applyFont="1" applyBorder="1" applyAlignment="1">
      <alignment horizontal="left"/>
    </xf>
    <xf numFmtId="0" fontId="16" fillId="0" borderId="0" xfId="0" applyFont="1" applyFill="1" applyBorder="1" applyAlignment="1">
      <alignment horizontal="center" vertical="center" wrapText="1"/>
    </xf>
    <xf numFmtId="3" fontId="16" fillId="0" borderId="18" xfId="0" applyNumberFormat="1" applyFont="1" applyBorder="1" applyAlignment="1" applyProtection="1">
      <alignment vertical="center" wrapText="1"/>
    </xf>
    <xf numFmtId="3" fontId="16" fillId="3" borderId="15" xfId="0" applyNumberFormat="1" applyFont="1" applyFill="1" applyBorder="1" applyAlignment="1" applyProtection="1">
      <alignment vertical="center" wrapText="1"/>
    </xf>
    <xf numFmtId="10" fontId="3" fillId="3" borderId="4" xfId="0" applyNumberFormat="1" applyFont="1" applyFill="1" applyBorder="1" applyAlignment="1" applyProtection="1">
      <alignment horizontal="right" vertical="center"/>
    </xf>
    <xf numFmtId="10" fontId="4" fillId="3" borderId="4" xfId="0" applyNumberFormat="1" applyFont="1" applyFill="1" applyBorder="1" applyAlignment="1" applyProtection="1">
      <alignment horizontal="right" vertical="center"/>
    </xf>
    <xf numFmtId="0" fontId="16" fillId="3" borderId="14" xfId="0" applyFont="1" applyFill="1" applyBorder="1" applyAlignment="1">
      <alignment horizontal="left" vertical="top"/>
    </xf>
    <xf numFmtId="3" fontId="2" fillId="0" borderId="7" xfId="0" applyNumberFormat="1" applyFont="1" applyBorder="1" applyAlignment="1" applyProtection="1">
      <alignment horizontal="right" vertical="center"/>
      <protection locked="0"/>
    </xf>
    <xf numFmtId="3" fontId="2" fillId="0" borderId="30" xfId="0" applyNumberFormat="1" applyFont="1" applyBorder="1" applyAlignment="1" applyProtection="1">
      <alignment horizontal="center" vertical="center"/>
    </xf>
    <xf numFmtId="0" fontId="2" fillId="0" borderId="18" xfId="0" applyFont="1" applyBorder="1" applyAlignment="1" applyProtection="1">
      <alignment vertical="center"/>
    </xf>
    <xf numFmtId="0" fontId="2" fillId="0" borderId="18" xfId="0" applyFont="1" applyFill="1" applyBorder="1" applyAlignment="1" applyProtection="1">
      <alignment vertical="center"/>
    </xf>
    <xf numFmtId="0" fontId="2" fillId="0" borderId="18" xfId="0" applyFont="1" applyBorder="1" applyAlignment="1" applyProtection="1">
      <alignment wrapText="1"/>
    </xf>
    <xf numFmtId="0" fontId="2" fillId="0" borderId="29" xfId="0" applyFont="1" applyBorder="1" applyAlignment="1" applyProtection="1">
      <alignment wrapText="1"/>
    </xf>
    <xf numFmtId="0" fontId="2" fillId="0" borderId="29" xfId="0" applyFont="1" applyBorder="1" applyAlignment="1" applyProtection="1">
      <alignment vertical="center"/>
    </xf>
    <xf numFmtId="0" fontId="2" fillId="0" borderId="29" xfId="0" applyFont="1" applyFill="1" applyBorder="1" applyAlignment="1" applyProtection="1">
      <alignment vertical="center"/>
    </xf>
    <xf numFmtId="0" fontId="2" fillId="0" borderId="19" xfId="0" applyFont="1" applyBorder="1" applyAlignment="1" applyProtection="1">
      <alignment wrapText="1"/>
    </xf>
    <xf numFmtId="3" fontId="2" fillId="0" borderId="31" xfId="0" applyNumberFormat="1" applyFont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vertical="center"/>
    </xf>
    <xf numFmtId="0" fontId="2" fillId="0" borderId="12" xfId="0" applyFont="1" applyBorder="1" applyAlignment="1" applyProtection="1">
      <alignment wrapText="1"/>
    </xf>
    <xf numFmtId="3" fontId="2" fillId="0" borderId="32" xfId="0" applyNumberFormat="1" applyFont="1" applyBorder="1" applyAlignment="1" applyProtection="1">
      <alignment horizontal="center" vertical="center"/>
    </xf>
    <xf numFmtId="10" fontId="2" fillId="0" borderId="18" xfId="0" applyNumberFormat="1" applyFont="1" applyBorder="1" applyAlignment="1" applyProtection="1">
      <alignment horizontal="center" vertical="center"/>
    </xf>
    <xf numFmtId="10" fontId="2" fillId="0" borderId="29" xfId="0" applyNumberFormat="1" applyFont="1" applyBorder="1" applyAlignment="1" applyProtection="1">
      <alignment horizontal="center" vertical="center"/>
    </xf>
    <xf numFmtId="3" fontId="2" fillId="0" borderId="18" xfId="0" applyNumberFormat="1" applyFont="1" applyBorder="1" applyAlignment="1" applyProtection="1">
      <alignment horizontal="center" vertical="center"/>
    </xf>
    <xf numFmtId="3" fontId="2" fillId="0" borderId="29" xfId="0" applyNumberFormat="1" applyFont="1" applyBorder="1" applyAlignment="1" applyProtection="1">
      <alignment horizontal="center" vertical="center"/>
    </xf>
    <xf numFmtId="10" fontId="2" fillId="0" borderId="19" xfId="0" applyNumberFormat="1" applyFont="1" applyBorder="1" applyAlignment="1" applyProtection="1">
      <alignment horizontal="center" vertical="center"/>
    </xf>
    <xf numFmtId="3" fontId="2" fillId="0" borderId="19" xfId="0" applyNumberFormat="1" applyFont="1" applyBorder="1" applyAlignment="1" applyProtection="1">
      <alignment horizontal="center" vertical="center"/>
    </xf>
    <xf numFmtId="3" fontId="2" fillId="0" borderId="12" xfId="0" applyNumberFormat="1" applyFont="1" applyBorder="1" applyAlignment="1" applyProtection="1">
      <alignment horizontal="center" vertical="center"/>
    </xf>
    <xf numFmtId="3" fontId="2" fillId="0" borderId="33" xfId="0" applyNumberFormat="1" applyFont="1" applyBorder="1" applyAlignment="1" applyProtection="1">
      <alignment horizontal="center" vertical="center"/>
    </xf>
    <xf numFmtId="10" fontId="2" fillId="0" borderId="30" xfId="0" applyNumberFormat="1" applyFont="1" applyBorder="1" applyAlignment="1" applyProtection="1">
      <alignment horizontal="center" vertical="center"/>
    </xf>
    <xf numFmtId="0" fontId="16" fillId="3" borderId="34" xfId="0" applyFont="1" applyFill="1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164" fontId="1" fillId="0" borderId="9" xfId="0" applyNumberFormat="1" applyFont="1" applyBorder="1" applyAlignment="1" applyProtection="1">
      <alignment horizontal="left"/>
      <protection locked="0"/>
    </xf>
    <xf numFmtId="164" fontId="15" fillId="0" borderId="9" xfId="0" applyNumberFormat="1" applyFont="1" applyBorder="1" applyAlignment="1" applyProtection="1">
      <alignment horizontal="left"/>
      <protection locked="0"/>
    </xf>
    <xf numFmtId="0" fontId="2" fillId="0" borderId="35" xfId="0" applyFont="1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16" fillId="0" borderId="36" xfId="0" applyFont="1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11" fillId="2" borderId="35" xfId="0" applyFont="1" applyFill="1" applyBorder="1" applyAlignment="1">
      <alignment horizontal="left" vertical="top"/>
    </xf>
    <xf numFmtId="49" fontId="2" fillId="0" borderId="35" xfId="0" applyNumberFormat="1" applyFont="1" applyBorder="1" applyAlignment="1" applyProtection="1">
      <alignment horizontal="left" vertical="top"/>
      <protection locked="0"/>
    </xf>
    <xf numFmtId="49" fontId="0" fillId="0" borderId="18" xfId="0" applyNumberFormat="1" applyBorder="1" applyAlignment="1" applyProtection="1">
      <alignment horizontal="left" vertical="top"/>
      <protection locked="0"/>
    </xf>
    <xf numFmtId="0" fontId="16" fillId="3" borderId="14" xfId="0" applyFont="1" applyFill="1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16" fillId="0" borderId="35" xfId="0" applyFont="1" applyBorder="1" applyAlignment="1">
      <alignment horizontal="left" vertical="top"/>
    </xf>
    <xf numFmtId="0" fontId="17" fillId="0" borderId="0" xfId="0" applyFont="1" applyAlignment="1">
      <alignment horizontal="center"/>
    </xf>
    <xf numFmtId="0" fontId="11" fillId="4" borderId="12" xfId="0" applyFont="1" applyFill="1" applyBorder="1" applyAlignment="1">
      <alignment horizontal="left" vertical="top"/>
    </xf>
    <xf numFmtId="0" fontId="16" fillId="3" borderId="15" xfId="0" applyFont="1" applyFill="1" applyBorder="1" applyAlignment="1">
      <alignment horizontal="left" vertical="top"/>
    </xf>
    <xf numFmtId="0" fontId="2" fillId="0" borderId="37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36" xfId="0" applyFont="1" applyBorder="1" applyAlignment="1">
      <alignment horizontal="left" vertical="top"/>
    </xf>
    <xf numFmtId="0" fontId="5" fillId="0" borderId="38" xfId="0" applyFont="1" applyBorder="1" applyAlignment="1" applyProtection="1">
      <alignment horizontal="center"/>
    </xf>
    <xf numFmtId="0" fontId="6" fillId="2" borderId="43" xfId="0" applyFont="1" applyFill="1" applyBorder="1" applyAlignment="1" applyProtection="1">
      <alignment horizontal="left" vertical="center"/>
    </xf>
    <xf numFmtId="0" fontId="6" fillId="2" borderId="44" xfId="0" applyFont="1" applyFill="1" applyBorder="1" applyAlignment="1" applyProtection="1">
      <alignment horizontal="left" vertical="center"/>
    </xf>
    <xf numFmtId="0" fontId="7" fillId="2" borderId="45" xfId="0" applyFont="1" applyFill="1" applyBorder="1" applyAlignment="1" applyProtection="1">
      <alignment horizontal="center" vertical="center"/>
    </xf>
    <xf numFmtId="0" fontId="7" fillId="2" borderId="46" xfId="0" applyFont="1" applyFill="1" applyBorder="1" applyAlignment="1" applyProtection="1">
      <alignment horizontal="center" vertical="center"/>
    </xf>
    <xf numFmtId="0" fontId="7" fillId="2" borderId="47" xfId="0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left"/>
    </xf>
    <xf numFmtId="0" fontId="5" fillId="0" borderId="38" xfId="0" applyFont="1" applyBorder="1" applyAlignment="1">
      <alignment horizontal="center"/>
    </xf>
    <xf numFmtId="0" fontId="6" fillId="2" borderId="39" xfId="0" applyFont="1" applyFill="1" applyBorder="1" applyAlignment="1">
      <alignment horizontal="left" vertical="center"/>
    </xf>
    <xf numFmtId="0" fontId="6" fillId="2" borderId="40" xfId="0" applyFont="1" applyFill="1" applyBorder="1" applyAlignment="1">
      <alignment horizontal="left" vertical="center"/>
    </xf>
    <xf numFmtId="0" fontId="7" fillId="2" borderId="41" xfId="0" applyFont="1" applyFill="1" applyBorder="1" applyAlignment="1">
      <alignment horizontal="center" vertical="center"/>
    </xf>
    <xf numFmtId="0" fontId="7" fillId="2" borderId="42" xfId="0" applyFont="1" applyFill="1" applyBorder="1" applyAlignment="1">
      <alignment horizontal="center" vertical="center"/>
    </xf>
    <xf numFmtId="0" fontId="12" fillId="3" borderId="48" xfId="0" applyFont="1" applyFill="1" applyBorder="1" applyAlignment="1" applyProtection="1">
      <alignment horizontal="left" vertical="center" wrapText="1"/>
    </xf>
    <xf numFmtId="0" fontId="12" fillId="3" borderId="49" xfId="0" applyFont="1" applyFill="1" applyBorder="1" applyAlignment="1" applyProtection="1">
      <alignment horizontal="left" vertical="center" wrapText="1"/>
    </xf>
    <xf numFmtId="0" fontId="12" fillId="3" borderId="50" xfId="0" applyFont="1" applyFill="1" applyBorder="1" applyAlignment="1" applyProtection="1">
      <alignment horizontal="left" vertical="center" wrapText="1"/>
    </xf>
    <xf numFmtId="0" fontId="12" fillId="3" borderId="20" xfId="0" applyFont="1" applyFill="1" applyBorder="1" applyAlignment="1" applyProtection="1">
      <alignment horizontal="left" vertical="center"/>
    </xf>
    <xf numFmtId="0" fontId="12" fillId="3" borderId="49" xfId="0" applyFont="1" applyFill="1" applyBorder="1" applyAlignment="1" applyProtection="1">
      <alignment horizontal="left" vertical="center"/>
    </xf>
    <xf numFmtId="0" fontId="12" fillId="3" borderId="51" xfId="0" applyFont="1" applyFill="1" applyBorder="1" applyAlignment="1" applyProtection="1">
      <alignment horizontal="left" vertical="center"/>
    </xf>
    <xf numFmtId="0" fontId="13" fillId="3" borderId="49" xfId="0" applyFont="1" applyFill="1" applyBorder="1" applyAlignment="1">
      <alignment horizontal="left" vertical="center"/>
    </xf>
    <xf numFmtId="0" fontId="13" fillId="3" borderId="51" xfId="0" applyFont="1" applyFill="1" applyBorder="1" applyAlignment="1">
      <alignment horizontal="left" vertical="center"/>
    </xf>
    <xf numFmtId="0" fontId="12" fillId="3" borderId="16" xfId="0" applyFont="1" applyFill="1" applyBorder="1" applyAlignment="1" applyProtection="1">
      <alignment horizontal="left" vertical="center"/>
    </xf>
    <xf numFmtId="0" fontId="12" fillId="3" borderId="52" xfId="0" applyFont="1" applyFill="1" applyBorder="1" applyAlignment="1" applyProtection="1">
      <alignment horizontal="left" vertical="center"/>
    </xf>
    <xf numFmtId="0" fontId="12" fillId="3" borderId="53" xfId="0" applyFont="1" applyFill="1" applyBorder="1" applyAlignment="1" applyProtection="1">
      <alignment horizontal="left" vertical="center"/>
    </xf>
  </cellXfs>
  <cellStyles count="2">
    <cellStyle name="Normal" xfId="0" builtinId="0"/>
    <cellStyle name="Pourcentag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3:K52"/>
  <sheetViews>
    <sheetView showGridLines="0" showRowColHeaders="0" tabSelected="1" topLeftCell="A6" zoomScale="115" zoomScaleNormal="115" workbookViewId="0">
      <selection activeCell="K42" sqref="K42"/>
    </sheetView>
  </sheetViews>
  <sheetFormatPr baseColWidth="10" defaultRowHeight="11.25" x14ac:dyDescent="0.2"/>
  <cols>
    <col min="1" max="1" width="38.7109375" style="31" customWidth="1"/>
    <col min="2" max="4" width="8.28515625" style="31" customWidth="1"/>
    <col min="5" max="11" width="8.7109375" style="31" customWidth="1"/>
    <col min="12" max="16384" width="11.42578125" style="31"/>
  </cols>
  <sheetData>
    <row r="3" spans="1:11" ht="12.75" x14ac:dyDescent="0.2">
      <c r="A3" s="27" t="s">
        <v>65</v>
      </c>
      <c r="B3" s="117" t="s">
        <v>118</v>
      </c>
      <c r="C3" s="118"/>
      <c r="D3" s="117" t="s">
        <v>117</v>
      </c>
      <c r="E3" s="118"/>
      <c r="F3" s="28"/>
      <c r="G3" s="28"/>
      <c r="H3" s="29"/>
      <c r="I3" s="30"/>
      <c r="J3" s="30"/>
      <c r="K3" s="30"/>
    </row>
    <row r="4" spans="1:11" x14ac:dyDescent="0.2">
      <c r="A4" s="131" t="s">
        <v>113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</row>
    <row r="5" spans="1:11" x14ac:dyDescent="0.2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</row>
    <row r="6" spans="1:11" ht="13.5" thickBot="1" x14ac:dyDescent="0.25">
      <c r="A6" s="33" t="s">
        <v>66</v>
      </c>
      <c r="B6" s="34" t="s">
        <v>2</v>
      </c>
      <c r="C6" s="34" t="s">
        <v>3</v>
      </c>
      <c r="D6" s="35" t="s">
        <v>4</v>
      </c>
      <c r="E6" s="132" t="s">
        <v>67</v>
      </c>
      <c r="F6" s="132"/>
      <c r="G6" s="132"/>
      <c r="H6" s="122"/>
      <c r="I6" s="34" t="s">
        <v>2</v>
      </c>
      <c r="J6" s="34" t="s">
        <v>3</v>
      </c>
      <c r="K6" s="34" t="s">
        <v>4</v>
      </c>
    </row>
    <row r="7" spans="1:11" ht="15" customHeight="1" thickBot="1" x14ac:dyDescent="0.25">
      <c r="A7" s="36" t="s">
        <v>109</v>
      </c>
      <c r="B7" s="37">
        <f>B9+B24-B25</f>
        <v>180</v>
      </c>
      <c r="C7" s="37">
        <f>C9+C24-C25</f>
        <v>-44</v>
      </c>
      <c r="D7" s="38">
        <f>D9+D24-D25</f>
        <v>354</v>
      </c>
      <c r="E7" s="128" t="s">
        <v>110</v>
      </c>
      <c r="F7" s="133"/>
      <c r="G7" s="133"/>
      <c r="H7" s="133"/>
      <c r="I7" s="37">
        <f>I9+I17</f>
        <v>8853</v>
      </c>
      <c r="J7" s="37">
        <f>J9+J17</f>
        <v>8975</v>
      </c>
      <c r="K7" s="39">
        <f>K9+K17</f>
        <v>9432</v>
      </c>
    </row>
    <row r="8" spans="1:11" ht="12.75" customHeight="1" x14ac:dyDescent="0.2">
      <c r="A8" s="40"/>
      <c r="B8" s="40"/>
      <c r="C8" s="40"/>
      <c r="D8" s="40"/>
      <c r="E8" s="119"/>
      <c r="F8" s="120"/>
      <c r="G8" s="120"/>
      <c r="H8" s="120"/>
      <c r="I8" s="41"/>
      <c r="J8" s="41"/>
      <c r="K8" s="41"/>
    </row>
    <row r="9" spans="1:11" ht="12.75" customHeight="1" x14ac:dyDescent="0.2">
      <c r="A9" s="42" t="s">
        <v>68</v>
      </c>
      <c r="B9" s="43">
        <f>SUM(B10:B12)</f>
        <v>27</v>
      </c>
      <c r="C9" s="43">
        <f>SUM(C10:C12)</f>
        <v>27</v>
      </c>
      <c r="D9" s="44">
        <f>SUM(D10:D12)</f>
        <v>27</v>
      </c>
      <c r="E9" s="123" t="s">
        <v>69</v>
      </c>
      <c r="F9" s="124"/>
      <c r="G9" s="124"/>
      <c r="H9" s="124"/>
      <c r="I9" s="43">
        <f>I10+I11+I12+I13+I14+I15+I16</f>
        <v>8853</v>
      </c>
      <c r="J9" s="43">
        <f>J10+J11+J12+J13+J14+J15+J16</f>
        <v>8975</v>
      </c>
      <c r="K9" s="45">
        <f>K10+K11+K12+K13+K14+K15+K16</f>
        <v>9432</v>
      </c>
    </row>
    <row r="10" spans="1:11" ht="10.5" customHeight="1" x14ac:dyDescent="0.2">
      <c r="A10" s="41" t="s">
        <v>70</v>
      </c>
      <c r="B10" s="46">
        <v>27</v>
      </c>
      <c r="C10" s="46">
        <v>27</v>
      </c>
      <c r="D10" s="46">
        <v>27</v>
      </c>
      <c r="E10" s="119" t="s">
        <v>71</v>
      </c>
      <c r="F10" s="120"/>
      <c r="G10" s="120"/>
      <c r="H10" s="120"/>
      <c r="I10" s="47">
        <v>4000</v>
      </c>
      <c r="J10" s="47">
        <v>4000</v>
      </c>
      <c r="K10" s="47">
        <v>4000</v>
      </c>
    </row>
    <row r="11" spans="1:11" ht="14.25" customHeight="1" x14ac:dyDescent="0.2">
      <c r="A11" s="41" t="s">
        <v>72</v>
      </c>
      <c r="B11" s="46"/>
      <c r="C11" s="46"/>
      <c r="D11" s="46"/>
      <c r="E11" s="119" t="s">
        <v>73</v>
      </c>
      <c r="F11" s="120"/>
      <c r="G11" s="120"/>
      <c r="H11" s="120"/>
      <c r="I11" s="47"/>
      <c r="J11" s="47"/>
      <c r="K11" s="47"/>
    </row>
    <row r="12" spans="1:11" ht="12.75" customHeight="1" x14ac:dyDescent="0.2">
      <c r="A12" s="41" t="s">
        <v>74</v>
      </c>
      <c r="B12" s="40"/>
      <c r="C12" s="40"/>
      <c r="D12" s="46"/>
      <c r="E12" s="119" t="s">
        <v>75</v>
      </c>
      <c r="F12" s="120"/>
      <c r="G12" s="120"/>
      <c r="H12" s="120"/>
      <c r="I12" s="47">
        <v>522</v>
      </c>
      <c r="J12" s="47">
        <v>557</v>
      </c>
      <c r="K12" s="47">
        <f>363+200</f>
        <v>563</v>
      </c>
    </row>
    <row r="13" spans="1:11" ht="15" customHeight="1" x14ac:dyDescent="0.2">
      <c r="A13" s="48" t="s">
        <v>76</v>
      </c>
      <c r="B13" s="88">
        <f>B14+B15</f>
        <v>0</v>
      </c>
      <c r="C13" s="88">
        <f>C14+C15</f>
        <v>187</v>
      </c>
      <c r="D13" s="88">
        <f>D14+D15</f>
        <v>250</v>
      </c>
      <c r="E13" s="119" t="s">
        <v>77</v>
      </c>
      <c r="F13" s="120"/>
      <c r="G13" s="120"/>
      <c r="H13" s="120"/>
      <c r="I13" s="47">
        <v>3639</v>
      </c>
      <c r="J13" s="47">
        <v>4297</v>
      </c>
      <c r="K13" s="47">
        <v>4412</v>
      </c>
    </row>
    <row r="14" spans="1:11" ht="12.75" customHeight="1" x14ac:dyDescent="0.2">
      <c r="A14" s="41" t="s">
        <v>78</v>
      </c>
      <c r="B14" s="40"/>
      <c r="C14" s="40"/>
      <c r="D14" s="46"/>
      <c r="E14" s="119" t="s">
        <v>79</v>
      </c>
      <c r="F14" s="120"/>
      <c r="G14" s="120"/>
      <c r="H14" s="120"/>
      <c r="I14" s="47">
        <v>692</v>
      </c>
      <c r="J14" s="47">
        <v>121</v>
      </c>
      <c r="K14" s="47">
        <v>457</v>
      </c>
    </row>
    <row r="15" spans="1:11" ht="12.75" customHeight="1" x14ac:dyDescent="0.2">
      <c r="A15" s="41" t="s">
        <v>80</v>
      </c>
      <c r="B15" s="40"/>
      <c r="C15" s="40">
        <v>187</v>
      </c>
      <c r="D15" s="46">
        <v>250</v>
      </c>
      <c r="E15" s="126" t="s">
        <v>114</v>
      </c>
      <c r="F15" s="127"/>
      <c r="G15" s="127"/>
      <c r="H15" s="127"/>
      <c r="I15" s="40"/>
      <c r="J15" s="40"/>
      <c r="K15" s="47"/>
    </row>
    <row r="16" spans="1:11" ht="12.75" customHeight="1" x14ac:dyDescent="0.2">
      <c r="A16" s="41"/>
      <c r="B16" s="40"/>
      <c r="C16" s="40"/>
      <c r="D16" s="46"/>
      <c r="E16" s="126" t="s">
        <v>115</v>
      </c>
      <c r="F16" s="127"/>
      <c r="G16" s="127"/>
      <c r="H16" s="127"/>
      <c r="I16" s="40"/>
      <c r="J16" s="40"/>
      <c r="K16" s="47"/>
    </row>
    <row r="17" spans="1:11" ht="12.75" x14ac:dyDescent="0.2">
      <c r="A17" s="48" t="s">
        <v>81</v>
      </c>
      <c r="B17" s="49">
        <f>SUM(B18:B21)</f>
        <v>1577</v>
      </c>
      <c r="C17" s="49">
        <f>SUM(C18:C21)</f>
        <v>1593</v>
      </c>
      <c r="D17" s="50">
        <f>D18+D19+D20+D21</f>
        <v>1609</v>
      </c>
      <c r="E17" s="130" t="s">
        <v>82</v>
      </c>
      <c r="F17" s="120"/>
      <c r="G17" s="120"/>
      <c r="H17" s="120"/>
      <c r="I17" s="49">
        <f>SUM(I18:I21)</f>
        <v>0</v>
      </c>
      <c r="J17" s="49">
        <f>SUM(J18:J21)</f>
        <v>0</v>
      </c>
      <c r="K17" s="51">
        <f>SUM(K18:K21)</f>
        <v>0</v>
      </c>
    </row>
    <row r="18" spans="1:11" ht="12.75" customHeight="1" x14ac:dyDescent="0.2">
      <c r="A18" s="41" t="s">
        <v>83</v>
      </c>
      <c r="B18" s="46"/>
      <c r="C18" s="46"/>
      <c r="D18" s="46"/>
      <c r="E18" s="119" t="s">
        <v>84</v>
      </c>
      <c r="F18" s="120"/>
      <c r="G18" s="120"/>
      <c r="H18" s="120"/>
      <c r="I18" s="40"/>
      <c r="J18" s="40"/>
      <c r="K18" s="47"/>
    </row>
    <row r="19" spans="1:11" ht="12.75" customHeight="1" x14ac:dyDescent="0.2">
      <c r="A19" s="41" t="s">
        <v>85</v>
      </c>
      <c r="B19" s="46">
        <v>1577</v>
      </c>
      <c r="C19" s="46">
        <v>1593</v>
      </c>
      <c r="D19" s="46">
        <f>880+137+592</f>
        <v>1609</v>
      </c>
      <c r="E19" s="119" t="s">
        <v>86</v>
      </c>
      <c r="F19" s="120"/>
      <c r="G19" s="120"/>
      <c r="H19" s="120"/>
      <c r="I19" s="47"/>
      <c r="J19" s="47"/>
      <c r="K19" s="47"/>
    </row>
    <row r="20" spans="1:11" ht="12.75" customHeight="1" x14ac:dyDescent="0.2">
      <c r="A20" s="41" t="s">
        <v>87</v>
      </c>
      <c r="B20" s="40"/>
      <c r="C20" s="40"/>
      <c r="D20" s="46"/>
      <c r="E20" s="119" t="s">
        <v>88</v>
      </c>
      <c r="F20" s="120"/>
      <c r="G20" s="120"/>
      <c r="H20" s="120"/>
      <c r="I20" s="40"/>
      <c r="J20" s="40"/>
      <c r="K20" s="47"/>
    </row>
    <row r="21" spans="1:11" ht="12.75" customHeight="1" x14ac:dyDescent="0.2">
      <c r="A21" s="52" t="s">
        <v>89</v>
      </c>
      <c r="B21" s="40"/>
      <c r="C21" s="40"/>
      <c r="D21" s="46"/>
      <c r="E21" s="119" t="s">
        <v>90</v>
      </c>
      <c r="F21" s="120"/>
      <c r="G21" s="120"/>
      <c r="H21" s="120"/>
      <c r="I21" s="53"/>
      <c r="J21" s="53"/>
      <c r="K21" s="54"/>
    </row>
    <row r="22" spans="1:11" ht="12.75" customHeight="1" x14ac:dyDescent="0.2">
      <c r="A22" s="48" t="s">
        <v>91</v>
      </c>
      <c r="B22" s="55"/>
      <c r="C22" s="55"/>
      <c r="D22" s="55"/>
      <c r="E22" s="119"/>
      <c r="F22" s="120"/>
      <c r="G22" s="120"/>
      <c r="H22" s="120"/>
      <c r="I22" s="56"/>
      <c r="J22" s="56"/>
      <c r="K22" s="57"/>
    </row>
    <row r="23" spans="1:11" ht="12.75" x14ac:dyDescent="0.2">
      <c r="A23" s="41"/>
      <c r="B23" s="40"/>
      <c r="C23" s="40"/>
      <c r="D23" s="40"/>
      <c r="E23" s="119"/>
      <c r="F23" s="120"/>
      <c r="G23" s="120"/>
      <c r="H23" s="120"/>
      <c r="I23" s="56"/>
      <c r="J23" s="56"/>
      <c r="K23" s="57"/>
    </row>
    <row r="24" spans="1:11" ht="12.75" x14ac:dyDescent="0.2">
      <c r="A24" s="48" t="s">
        <v>92</v>
      </c>
      <c r="B24" s="49">
        <f>B13+B17+B22</f>
        <v>1577</v>
      </c>
      <c r="C24" s="49">
        <f>C13+C17+C22</f>
        <v>1780</v>
      </c>
      <c r="D24" s="50">
        <f>D13+D17+D22</f>
        <v>1859</v>
      </c>
      <c r="E24" s="119"/>
      <c r="F24" s="120"/>
      <c r="G24" s="120"/>
      <c r="H24" s="120"/>
      <c r="I24" s="58"/>
      <c r="J24" s="58"/>
      <c r="K24" s="59"/>
    </row>
    <row r="25" spans="1:11" ht="12.75" x14ac:dyDescent="0.2">
      <c r="A25" s="48" t="s">
        <v>93</v>
      </c>
      <c r="B25" s="55">
        <v>1424</v>
      </c>
      <c r="C25" s="55">
        <v>1851</v>
      </c>
      <c r="D25" s="55">
        <v>1532</v>
      </c>
      <c r="E25" s="119"/>
      <c r="F25" s="120"/>
      <c r="G25" s="120"/>
      <c r="H25" s="120"/>
      <c r="I25" s="58"/>
      <c r="J25" s="58"/>
      <c r="K25" s="59"/>
    </row>
    <row r="26" spans="1:11" ht="13.5" thickBot="1" x14ac:dyDescent="0.25">
      <c r="A26" s="41"/>
      <c r="B26" s="49"/>
      <c r="C26" s="49"/>
      <c r="E26" s="121"/>
      <c r="F26" s="122"/>
      <c r="G26" s="122"/>
      <c r="H26" s="122"/>
      <c r="I26" s="58"/>
      <c r="J26" s="58"/>
      <c r="K26" s="59"/>
    </row>
    <row r="27" spans="1:11" ht="14.25" customHeight="1" thickBot="1" x14ac:dyDescent="0.25">
      <c r="A27" s="37" t="s">
        <v>111</v>
      </c>
      <c r="B27" s="37">
        <f>B29+B30+B31</f>
        <v>23223</v>
      </c>
      <c r="C27" s="37">
        <f>C29+C30+C31</f>
        <v>20581</v>
      </c>
      <c r="D27" s="38">
        <f>D29+D30+D31</f>
        <v>21793</v>
      </c>
      <c r="E27" s="128" t="s">
        <v>112</v>
      </c>
      <c r="F27" s="129"/>
      <c r="G27" s="129"/>
      <c r="H27" s="129"/>
      <c r="I27" s="37">
        <f>I29+I30+I31+I32</f>
        <v>12300</v>
      </c>
      <c r="J27" s="37">
        <f>J29+J30+J31+J32</f>
        <v>8527</v>
      </c>
      <c r="K27" s="39">
        <f>K29+K30+K31+K32</f>
        <v>8868</v>
      </c>
    </row>
    <row r="28" spans="1:11" ht="12.75" customHeight="1" x14ac:dyDescent="0.2">
      <c r="A28" s="60"/>
      <c r="B28" s="40"/>
      <c r="C28" s="40"/>
      <c r="D28" s="46"/>
      <c r="E28" s="119"/>
      <c r="F28" s="120"/>
      <c r="G28" s="120"/>
      <c r="H28" s="120"/>
      <c r="I28" s="56"/>
      <c r="J28" s="56"/>
      <c r="K28" s="56"/>
    </row>
    <row r="29" spans="1:11" ht="12.75" customHeight="1" x14ac:dyDescent="0.2">
      <c r="A29" s="61" t="s">
        <v>94</v>
      </c>
      <c r="B29" s="62">
        <v>14608</v>
      </c>
      <c r="C29" s="62">
        <v>14853</v>
      </c>
      <c r="D29" s="62">
        <v>15817</v>
      </c>
      <c r="E29" s="119" t="s">
        <v>95</v>
      </c>
      <c r="F29" s="120"/>
      <c r="G29" s="120"/>
      <c r="H29" s="120"/>
      <c r="I29" s="63">
        <v>4070</v>
      </c>
      <c r="J29" s="63">
        <v>2762</v>
      </c>
      <c r="K29" s="63">
        <v>4370</v>
      </c>
    </row>
    <row r="30" spans="1:11" ht="12.75" customHeight="1" x14ac:dyDescent="0.2">
      <c r="A30" s="52" t="s">
        <v>96</v>
      </c>
      <c r="B30" s="64">
        <v>8235</v>
      </c>
      <c r="C30" s="64">
        <v>5029</v>
      </c>
      <c r="D30" s="64">
        <v>5310</v>
      </c>
      <c r="E30" s="119" t="s">
        <v>97</v>
      </c>
      <c r="F30" s="120"/>
      <c r="G30" s="120"/>
      <c r="H30" s="120"/>
      <c r="I30" s="65">
        <v>1797</v>
      </c>
      <c r="J30" s="65">
        <v>947</v>
      </c>
      <c r="K30" s="65">
        <f>83+1040</f>
        <v>1123</v>
      </c>
    </row>
    <row r="31" spans="1:11" ht="12.75" customHeight="1" x14ac:dyDescent="0.2">
      <c r="A31" s="66" t="s">
        <v>98</v>
      </c>
      <c r="B31" s="68">
        <v>380</v>
      </c>
      <c r="C31" s="68">
        <v>699</v>
      </c>
      <c r="D31" s="68">
        <f>3+650+13</f>
        <v>666</v>
      </c>
      <c r="E31" s="119" t="s">
        <v>99</v>
      </c>
      <c r="F31" s="120"/>
      <c r="G31" s="120"/>
      <c r="H31" s="120"/>
      <c r="I31" s="65">
        <v>6321</v>
      </c>
      <c r="J31" s="65">
        <v>4480</v>
      </c>
      <c r="K31" s="65">
        <v>3280</v>
      </c>
    </row>
    <row r="32" spans="1:11" ht="12.75" customHeight="1" x14ac:dyDescent="0.2">
      <c r="A32" s="66"/>
      <c r="B32" s="67"/>
      <c r="C32" s="67"/>
      <c r="D32" s="68"/>
      <c r="E32" s="119" t="s">
        <v>100</v>
      </c>
      <c r="F32" s="120"/>
      <c r="G32" s="120"/>
      <c r="H32" s="120"/>
      <c r="I32" s="70">
        <v>112</v>
      </c>
      <c r="J32" s="70">
        <v>338</v>
      </c>
      <c r="K32" s="70">
        <f>45+37+13</f>
        <v>95</v>
      </c>
    </row>
    <row r="33" spans="1:11" ht="12.75" customHeight="1" thickBot="1" x14ac:dyDescent="0.25">
      <c r="A33" s="71"/>
      <c r="B33" s="72"/>
      <c r="C33" s="72"/>
      <c r="D33" s="73"/>
      <c r="I33" s="53"/>
      <c r="J33" s="69"/>
      <c r="K33" s="70"/>
    </row>
    <row r="34" spans="1:11" ht="13.5" thickBot="1" x14ac:dyDescent="0.25">
      <c r="A34" s="92" t="s">
        <v>101</v>
      </c>
      <c r="B34" s="37">
        <f>B36</f>
        <v>17</v>
      </c>
      <c r="C34" s="37">
        <f>C36</f>
        <v>68</v>
      </c>
      <c r="D34" s="37">
        <f>D36</f>
        <v>45</v>
      </c>
      <c r="E34" s="128" t="s">
        <v>102</v>
      </c>
      <c r="F34" s="129"/>
      <c r="G34" s="129"/>
      <c r="H34" s="129"/>
      <c r="I34" s="89">
        <f>I36</f>
        <v>2267</v>
      </c>
      <c r="J34" s="89">
        <f>J36</f>
        <v>3103</v>
      </c>
      <c r="K34" s="89">
        <f>K36</f>
        <v>3892</v>
      </c>
    </row>
    <row r="35" spans="1:11" ht="12.75" x14ac:dyDescent="0.2">
      <c r="A35" s="74"/>
      <c r="B35" s="75"/>
      <c r="C35" s="75"/>
      <c r="D35" s="76"/>
      <c r="E35" s="119"/>
      <c r="F35" s="120"/>
      <c r="G35" s="120"/>
      <c r="H35" s="120"/>
      <c r="I35" s="53"/>
      <c r="J35" s="69"/>
      <c r="K35" s="70"/>
    </row>
    <row r="36" spans="1:11" ht="12.75" x14ac:dyDescent="0.2">
      <c r="A36" s="77" t="s">
        <v>103</v>
      </c>
      <c r="B36" s="93">
        <v>17</v>
      </c>
      <c r="C36" s="93">
        <v>68</v>
      </c>
      <c r="D36" s="93">
        <v>45</v>
      </c>
      <c r="E36" s="136" t="s">
        <v>104</v>
      </c>
      <c r="F36" s="124"/>
      <c r="G36" s="124"/>
      <c r="H36" s="124"/>
      <c r="I36" s="70">
        <v>2267</v>
      </c>
      <c r="J36" s="70">
        <v>3103</v>
      </c>
      <c r="K36" s="70">
        <f>295+433+3164</f>
        <v>3892</v>
      </c>
    </row>
    <row r="37" spans="1:11" ht="12.75" customHeight="1" x14ac:dyDescent="0.2">
      <c r="A37" s="66"/>
      <c r="B37" s="67"/>
      <c r="C37" s="67"/>
      <c r="D37" s="93"/>
      <c r="E37" s="134"/>
      <c r="F37" s="134"/>
      <c r="G37" s="134"/>
      <c r="H37" s="135"/>
      <c r="I37" s="67"/>
      <c r="J37" s="67"/>
      <c r="K37" s="67"/>
    </row>
    <row r="38" spans="1:11" ht="12.75" customHeight="1" thickBot="1" x14ac:dyDescent="0.25">
      <c r="A38" s="78" t="s">
        <v>105</v>
      </c>
      <c r="B38" s="79">
        <f>B7+B27+B34</f>
        <v>23420</v>
      </c>
      <c r="C38" s="79">
        <f>C7+C27+C34</f>
        <v>20605</v>
      </c>
      <c r="D38" s="80">
        <f>D7+D27+D34</f>
        <v>22192</v>
      </c>
      <c r="E38" s="125" t="s">
        <v>106</v>
      </c>
      <c r="F38" s="120"/>
      <c r="G38" s="120"/>
      <c r="H38" s="120"/>
      <c r="I38" s="81">
        <f>I7+I27+I34</f>
        <v>23420</v>
      </c>
      <c r="J38" s="81">
        <f>J7+J27+J34</f>
        <v>20605</v>
      </c>
      <c r="K38" s="82">
        <f>K7+K27+K34</f>
        <v>22192</v>
      </c>
    </row>
    <row r="39" spans="1:11" ht="12.75" customHeight="1" thickBot="1" x14ac:dyDescent="0.25">
      <c r="A39" s="83" t="s">
        <v>107</v>
      </c>
      <c r="B39" s="37">
        <f>I9-B9</f>
        <v>8826</v>
      </c>
      <c r="C39" s="37">
        <f>J9-C9</f>
        <v>8948</v>
      </c>
      <c r="D39" s="39">
        <f>K9-D9</f>
        <v>9405</v>
      </c>
      <c r="E39" s="115" t="s">
        <v>108</v>
      </c>
      <c r="F39" s="116"/>
      <c r="G39" s="116"/>
      <c r="H39" s="116"/>
      <c r="I39" s="84">
        <f>I7-B7</f>
        <v>8673</v>
      </c>
      <c r="J39" s="84">
        <f>J7-C7</f>
        <v>9019</v>
      </c>
      <c r="K39" s="85">
        <f>K7-D7</f>
        <v>9078</v>
      </c>
    </row>
    <row r="40" spans="1:11" x14ac:dyDescent="0.2">
      <c r="A40" s="86"/>
      <c r="B40" s="86"/>
      <c r="C40" s="86"/>
      <c r="D40" s="86"/>
      <c r="E40" s="86"/>
      <c r="F40" s="86"/>
      <c r="G40" s="86"/>
      <c r="H40" s="86"/>
      <c r="I40" s="86"/>
      <c r="J40" s="87"/>
    </row>
    <row r="41" spans="1:11" x14ac:dyDescent="0.2">
      <c r="A41" s="86"/>
      <c r="B41" s="86"/>
      <c r="C41" s="86"/>
      <c r="D41" s="86"/>
      <c r="E41" s="86"/>
      <c r="F41" s="86"/>
      <c r="G41" s="86"/>
      <c r="H41" s="86"/>
      <c r="I41" s="86"/>
      <c r="J41" s="87"/>
    </row>
    <row r="42" spans="1:11" x14ac:dyDescent="0.2">
      <c r="A42" s="86"/>
      <c r="B42" s="86"/>
      <c r="C42" s="86"/>
      <c r="D42" s="86"/>
      <c r="E42" s="86"/>
      <c r="F42" s="86"/>
      <c r="G42" s="86"/>
      <c r="H42" s="86"/>
      <c r="I42" s="86"/>
      <c r="J42" s="87"/>
    </row>
    <row r="43" spans="1:11" x14ac:dyDescent="0.2">
      <c r="A43" s="86"/>
      <c r="B43" s="86"/>
      <c r="C43" s="86"/>
      <c r="D43" s="86"/>
      <c r="E43" s="86"/>
      <c r="F43" s="86"/>
      <c r="G43" s="86"/>
      <c r="H43" s="86"/>
      <c r="I43" s="86"/>
      <c r="J43" s="87"/>
    </row>
    <row r="44" spans="1:11" x14ac:dyDescent="0.2">
      <c r="A44" s="86"/>
      <c r="B44" s="86"/>
      <c r="C44" s="86"/>
      <c r="D44" s="86"/>
      <c r="E44" s="86"/>
      <c r="F44" s="86"/>
      <c r="G44" s="86"/>
      <c r="H44" s="86"/>
      <c r="I44" s="86"/>
      <c r="J44" s="87"/>
    </row>
    <row r="45" spans="1:11" x14ac:dyDescent="0.2">
      <c r="A45" s="86"/>
      <c r="B45" s="86"/>
      <c r="C45" s="86"/>
      <c r="D45" s="86"/>
      <c r="E45" s="86"/>
      <c r="F45" s="86"/>
      <c r="G45" s="86"/>
      <c r="H45" s="86"/>
      <c r="I45" s="86"/>
      <c r="J45" s="87"/>
    </row>
    <row r="46" spans="1:11" x14ac:dyDescent="0.2">
      <c r="A46" s="86"/>
      <c r="B46" s="86"/>
      <c r="C46" s="86"/>
      <c r="D46" s="86"/>
      <c r="E46" s="86"/>
      <c r="F46" s="86"/>
      <c r="G46" s="86"/>
      <c r="H46" s="86"/>
      <c r="I46" s="86"/>
      <c r="J46" s="87"/>
    </row>
    <row r="47" spans="1:11" x14ac:dyDescent="0.2">
      <c r="A47" s="86"/>
      <c r="B47" s="86"/>
      <c r="C47" s="86"/>
      <c r="D47" s="86"/>
      <c r="E47" s="86"/>
      <c r="F47" s="86"/>
      <c r="G47" s="86"/>
      <c r="H47" s="86"/>
      <c r="I47" s="86"/>
      <c r="J47" s="87"/>
    </row>
    <row r="48" spans="1:11" x14ac:dyDescent="0.2">
      <c r="A48" s="86"/>
      <c r="B48" s="86"/>
      <c r="C48" s="86"/>
      <c r="D48" s="86"/>
      <c r="E48" s="86"/>
      <c r="F48" s="86"/>
      <c r="G48" s="86"/>
      <c r="H48" s="86"/>
      <c r="I48" s="86"/>
      <c r="J48" s="87"/>
    </row>
    <row r="49" spans="1:10" x14ac:dyDescent="0.2">
      <c r="A49" s="86"/>
      <c r="B49" s="86"/>
      <c r="C49" s="86"/>
      <c r="D49" s="86"/>
      <c r="E49" s="86"/>
      <c r="F49" s="86"/>
      <c r="G49" s="86"/>
      <c r="H49" s="86"/>
      <c r="I49" s="86"/>
      <c r="J49" s="87"/>
    </row>
    <row r="50" spans="1:10" x14ac:dyDescent="0.2">
      <c r="A50" s="86"/>
      <c r="B50" s="86"/>
      <c r="C50" s="86"/>
      <c r="D50" s="86"/>
      <c r="E50" s="86"/>
      <c r="F50" s="86"/>
      <c r="G50" s="86"/>
      <c r="H50" s="86"/>
      <c r="I50" s="86"/>
      <c r="J50" s="87"/>
    </row>
    <row r="51" spans="1:10" x14ac:dyDescent="0.2">
      <c r="A51" s="86"/>
      <c r="B51" s="86"/>
      <c r="C51" s="86"/>
      <c r="D51" s="86"/>
      <c r="E51" s="86"/>
      <c r="F51" s="86"/>
      <c r="G51" s="86"/>
      <c r="H51" s="86"/>
      <c r="I51" s="86"/>
      <c r="J51" s="87"/>
    </row>
    <row r="52" spans="1:10" x14ac:dyDescent="0.2">
      <c r="A52" s="86"/>
      <c r="B52" s="86"/>
      <c r="C52" s="86"/>
      <c r="D52" s="86"/>
      <c r="E52" s="86"/>
      <c r="F52" s="86"/>
      <c r="G52" s="86"/>
      <c r="H52" s="86"/>
      <c r="I52" s="86"/>
      <c r="J52" s="87"/>
    </row>
  </sheetData>
  <sheetProtection password="C656" sheet="1" objects="1" scenarios="1"/>
  <mergeCells count="36">
    <mergeCell ref="E37:H37"/>
    <mergeCell ref="E36:H36"/>
    <mergeCell ref="E34:H34"/>
    <mergeCell ref="E29:H29"/>
    <mergeCell ref="E31:H31"/>
    <mergeCell ref="E30:H30"/>
    <mergeCell ref="E32:H32"/>
    <mergeCell ref="B3:C3"/>
    <mergeCell ref="A4:K4"/>
    <mergeCell ref="E6:H6"/>
    <mergeCell ref="E7:H7"/>
    <mergeCell ref="E21:H21"/>
    <mergeCell ref="E19:H19"/>
    <mergeCell ref="E13:H13"/>
    <mergeCell ref="E27:H27"/>
    <mergeCell ref="E18:H18"/>
    <mergeCell ref="E17:H17"/>
    <mergeCell ref="E23:H23"/>
    <mergeCell ref="E28:H28"/>
    <mergeCell ref="E24:H24"/>
    <mergeCell ref="E39:H39"/>
    <mergeCell ref="D3:E3"/>
    <mergeCell ref="E22:H22"/>
    <mergeCell ref="E26:H26"/>
    <mergeCell ref="E35:H35"/>
    <mergeCell ref="E9:H9"/>
    <mergeCell ref="E10:H10"/>
    <mergeCell ref="E8:H8"/>
    <mergeCell ref="E11:H11"/>
    <mergeCell ref="E25:H25"/>
    <mergeCell ref="E38:H38"/>
    <mergeCell ref="E20:H20"/>
    <mergeCell ref="E12:H12"/>
    <mergeCell ref="E14:H14"/>
    <mergeCell ref="E16:H16"/>
    <mergeCell ref="E15:H15"/>
  </mergeCells>
  <phoneticPr fontId="0" type="noConversion"/>
  <pageMargins left="0.78740157480314965" right="0.78740157480314965" top="0.31496062992125984" bottom="0.98425196850393704" header="0.31496062992125984" footer="0.51181102362204722"/>
  <pageSetup paperSize="9" orientation="landscape" horizontalDpi="4294967294" verticalDpi="429496729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1"/>
  <sheetViews>
    <sheetView topLeftCell="A17" zoomScale="145" zoomScaleNormal="145" workbookViewId="0">
      <selection activeCell="F39" sqref="F39"/>
    </sheetView>
  </sheetViews>
  <sheetFormatPr baseColWidth="10" defaultRowHeight="12.75" x14ac:dyDescent="0.2"/>
  <cols>
    <col min="1" max="1" width="25.85546875" customWidth="1"/>
  </cols>
  <sheetData>
    <row r="1" spans="1:7" s="2" customFormat="1" ht="8.25" x14ac:dyDescent="0.15">
      <c r="A1" s="143" t="s">
        <v>0</v>
      </c>
      <c r="B1" s="143"/>
      <c r="C1" s="143"/>
      <c r="D1" s="143"/>
      <c r="E1" s="3"/>
      <c r="F1" s="3"/>
      <c r="G1" s="3"/>
    </row>
    <row r="2" spans="1:7" s="2" customFormat="1" ht="9" thickBot="1" x14ac:dyDescent="0.2">
      <c r="A2" s="144" t="s">
        <v>113</v>
      </c>
      <c r="B2" s="144"/>
      <c r="C2" s="144"/>
      <c r="D2" s="144"/>
      <c r="E2" s="144"/>
      <c r="F2" s="144"/>
      <c r="G2" s="144"/>
    </row>
    <row r="3" spans="1:7" s="2" customFormat="1" ht="8.25" x14ac:dyDescent="0.15">
      <c r="A3" s="145" t="s">
        <v>1</v>
      </c>
      <c r="B3" s="147" t="s">
        <v>2</v>
      </c>
      <c r="C3" s="148"/>
      <c r="D3" s="147" t="s">
        <v>3</v>
      </c>
      <c r="E3" s="148"/>
      <c r="F3" s="147" t="s">
        <v>4</v>
      </c>
      <c r="G3" s="148"/>
    </row>
    <row r="4" spans="1:7" s="2" customFormat="1" ht="8.25" x14ac:dyDescent="0.15">
      <c r="A4" s="146"/>
      <c r="B4" s="4" t="s">
        <v>5</v>
      </c>
      <c r="C4" s="5" t="s">
        <v>6</v>
      </c>
      <c r="D4" s="6" t="s">
        <v>5</v>
      </c>
      <c r="E4" s="5" t="s">
        <v>6</v>
      </c>
      <c r="F4" s="6" t="s">
        <v>5</v>
      </c>
      <c r="G4" s="5" t="s">
        <v>6</v>
      </c>
    </row>
    <row r="5" spans="1:7" s="2" customFormat="1" ht="8.25" x14ac:dyDescent="0.15">
      <c r="A5" s="7" t="s">
        <v>28</v>
      </c>
      <c r="B5" s="8">
        <f>B6+B9</f>
        <v>9837</v>
      </c>
      <c r="C5" s="91"/>
      <c r="D5" s="8">
        <f>D6+D9</f>
        <v>7210</v>
      </c>
      <c r="E5" s="91"/>
      <c r="F5" s="8">
        <f>F6+F9</f>
        <v>7973</v>
      </c>
      <c r="G5" s="91"/>
    </row>
    <row r="6" spans="1:7" s="2" customFormat="1" ht="8.25" x14ac:dyDescent="0.15">
      <c r="A6" s="9" t="s">
        <v>7</v>
      </c>
      <c r="B6" s="10">
        <v>9745</v>
      </c>
      <c r="C6" s="90">
        <f>B6/B5</f>
        <v>0.99064755514892755</v>
      </c>
      <c r="D6" s="10">
        <v>7057</v>
      </c>
      <c r="E6" s="90">
        <f>D6/D5</f>
        <v>0.97877947295423029</v>
      </c>
      <c r="F6" s="10">
        <v>7746</v>
      </c>
      <c r="G6" s="90">
        <f>F6/F5</f>
        <v>0.97152891007149134</v>
      </c>
    </row>
    <row r="7" spans="1:7" s="2" customFormat="1" ht="8.25" x14ac:dyDescent="0.15">
      <c r="A7" s="9" t="s">
        <v>8</v>
      </c>
      <c r="B7" s="10">
        <v>5806</v>
      </c>
      <c r="C7" s="90">
        <f>B7/B5</f>
        <v>0.59022059571007424</v>
      </c>
      <c r="D7" s="10">
        <v>4037</v>
      </c>
      <c r="E7" s="90">
        <f>D7/D5</f>
        <v>0.55991678224687935</v>
      </c>
      <c r="F7" s="10">
        <v>4780</v>
      </c>
      <c r="G7" s="90">
        <f>F7/F5</f>
        <v>0.59952339144613065</v>
      </c>
    </row>
    <row r="8" spans="1:7" s="2" customFormat="1" ht="8.25" x14ac:dyDescent="0.15">
      <c r="A8" s="7" t="s">
        <v>29</v>
      </c>
      <c r="B8" s="11">
        <f>B6-B7</f>
        <v>3939</v>
      </c>
      <c r="C8" s="91">
        <f>B8/B5</f>
        <v>0.40042695943885331</v>
      </c>
      <c r="D8" s="11">
        <f>D6-D7</f>
        <v>3020</v>
      </c>
      <c r="E8" s="91">
        <f>D8/D5</f>
        <v>0.41886269070735088</v>
      </c>
      <c r="F8" s="11">
        <f>F6-F7</f>
        <v>2966</v>
      </c>
      <c r="G8" s="91">
        <f>F8/F5</f>
        <v>0.37200551862536058</v>
      </c>
    </row>
    <row r="9" spans="1:7" s="2" customFormat="1" ht="8.25" x14ac:dyDescent="0.15">
      <c r="A9" s="9" t="s">
        <v>9</v>
      </c>
      <c r="B9" s="10">
        <v>92</v>
      </c>
      <c r="C9" s="90">
        <f>B9/B5</f>
        <v>9.3524448510724813E-3</v>
      </c>
      <c r="D9" s="10">
        <v>153</v>
      </c>
      <c r="E9" s="90">
        <f>D9/D5</f>
        <v>2.1220527045769766E-2</v>
      </c>
      <c r="F9" s="10">
        <v>227</v>
      </c>
      <c r="G9" s="90">
        <f>F9/F5</f>
        <v>2.8471089928508716E-2</v>
      </c>
    </row>
    <row r="10" spans="1:7" s="2" customFormat="1" ht="8.25" x14ac:dyDescent="0.15">
      <c r="A10" s="9" t="s">
        <v>10</v>
      </c>
      <c r="B10" s="10"/>
      <c r="C10" s="90">
        <f>B10/B5</f>
        <v>0</v>
      </c>
      <c r="D10" s="10"/>
      <c r="E10" s="90">
        <f>D10/D5</f>
        <v>0</v>
      </c>
      <c r="F10" s="10"/>
      <c r="G10" s="90">
        <f>F10/F5</f>
        <v>0</v>
      </c>
    </row>
    <row r="11" spans="1:7" s="2" customFormat="1" ht="8.25" x14ac:dyDescent="0.15">
      <c r="A11" s="9" t="s">
        <v>11</v>
      </c>
      <c r="B11" s="10">
        <v>0</v>
      </c>
      <c r="C11" s="90">
        <f>B11/B5</f>
        <v>0</v>
      </c>
      <c r="D11" s="10"/>
      <c r="E11" s="90">
        <f>D11/D5</f>
        <v>0</v>
      </c>
      <c r="F11" s="10"/>
      <c r="G11" s="90">
        <f>F11/F5</f>
        <v>0</v>
      </c>
    </row>
    <row r="12" spans="1:7" s="2" customFormat="1" ht="8.25" x14ac:dyDescent="0.15">
      <c r="A12" s="7" t="s">
        <v>30</v>
      </c>
      <c r="B12" s="11">
        <f>B9+B10+B11</f>
        <v>92</v>
      </c>
      <c r="C12" s="91">
        <f>B12/B5</f>
        <v>9.3524448510724813E-3</v>
      </c>
      <c r="D12" s="11">
        <f>D9+D10+D11</f>
        <v>153</v>
      </c>
      <c r="E12" s="91">
        <f>D12/D5</f>
        <v>2.1220527045769766E-2</v>
      </c>
      <c r="F12" s="11">
        <f>F9+F10+F11</f>
        <v>227</v>
      </c>
      <c r="G12" s="91">
        <f>F12/F5</f>
        <v>2.8471089928508716E-2</v>
      </c>
    </row>
    <row r="13" spans="1:7" s="2" customFormat="1" ht="8.25" x14ac:dyDescent="0.15">
      <c r="A13" s="9" t="s">
        <v>12</v>
      </c>
      <c r="B13" s="10">
        <v>260</v>
      </c>
      <c r="C13" s="90">
        <f>B13/B5</f>
        <v>2.6430822405204838E-2</v>
      </c>
      <c r="D13" s="10">
        <v>294</v>
      </c>
      <c r="E13" s="90">
        <f>D13/D5</f>
        <v>4.0776699029126215E-2</v>
      </c>
      <c r="F13" s="10">
        <v>273</v>
      </c>
      <c r="G13" s="90">
        <f>F13/F5</f>
        <v>3.4240561896400352E-2</v>
      </c>
    </row>
    <row r="14" spans="1:7" s="2" customFormat="1" ht="8.25" x14ac:dyDescent="0.15">
      <c r="A14" s="9" t="s">
        <v>13</v>
      </c>
      <c r="B14" s="10">
        <v>818</v>
      </c>
      <c r="C14" s="90">
        <f>B14/B5</f>
        <v>8.3155433567144457E-2</v>
      </c>
      <c r="D14" s="10">
        <v>1294</v>
      </c>
      <c r="E14" s="90">
        <f>D14/D5</f>
        <v>0.17947295423023579</v>
      </c>
      <c r="F14" s="10">
        <v>936</v>
      </c>
      <c r="G14" s="90">
        <f>F14/F5</f>
        <v>0.11739621221622977</v>
      </c>
    </row>
    <row r="15" spans="1:7" s="2" customFormat="1" ht="8.25" x14ac:dyDescent="0.15">
      <c r="A15" s="12" t="s">
        <v>31</v>
      </c>
      <c r="B15" s="11">
        <f>B13+B14</f>
        <v>1078</v>
      </c>
      <c r="C15" s="91">
        <f>B15/B5</f>
        <v>0.10958625597234929</v>
      </c>
      <c r="D15" s="11">
        <f>D13+D14</f>
        <v>1588</v>
      </c>
      <c r="E15" s="91">
        <f>D15/D5</f>
        <v>0.22024965325936199</v>
      </c>
      <c r="F15" s="11">
        <f>F13+F14</f>
        <v>1209</v>
      </c>
      <c r="G15" s="91">
        <f>F15/F5</f>
        <v>0.15163677411263013</v>
      </c>
    </row>
    <row r="16" spans="1:7" s="2" customFormat="1" ht="8.25" x14ac:dyDescent="0.15">
      <c r="A16" s="7" t="s">
        <v>32</v>
      </c>
      <c r="B16" s="11">
        <f>B8+B12-B15</f>
        <v>2953</v>
      </c>
      <c r="C16" s="91">
        <f>B16/B5</f>
        <v>0.30019314831757649</v>
      </c>
      <c r="D16" s="11">
        <f>D8+D12-D15</f>
        <v>1585</v>
      </c>
      <c r="E16" s="91">
        <f>D16/D5</f>
        <v>0.21983356449375868</v>
      </c>
      <c r="F16" s="11">
        <f>F8+F12-F15</f>
        <v>1984</v>
      </c>
      <c r="G16" s="91">
        <f>F16/F5</f>
        <v>0.24883983444123919</v>
      </c>
    </row>
    <row r="17" spans="1:7" s="2" customFormat="1" ht="8.25" x14ac:dyDescent="0.15">
      <c r="A17" s="13" t="s">
        <v>14</v>
      </c>
      <c r="B17" s="13"/>
      <c r="C17" s="13"/>
      <c r="D17" s="13"/>
      <c r="E17" s="13"/>
      <c r="F17" s="13"/>
      <c r="G17" s="13"/>
    </row>
    <row r="18" spans="1:7" s="2" customFormat="1" ht="9" thickBot="1" x14ac:dyDescent="0.2">
      <c r="A18" s="137" t="s">
        <v>113</v>
      </c>
      <c r="B18" s="137"/>
      <c r="C18" s="137"/>
      <c r="D18" s="137"/>
      <c r="E18" s="137"/>
      <c r="F18" s="137"/>
      <c r="G18" s="137"/>
    </row>
    <row r="19" spans="1:7" s="2" customFormat="1" ht="8.25" x14ac:dyDescent="0.15">
      <c r="A19" s="138" t="s">
        <v>15</v>
      </c>
      <c r="B19" s="140" t="s">
        <v>2</v>
      </c>
      <c r="C19" s="141"/>
      <c r="D19" s="142" t="s">
        <v>3</v>
      </c>
      <c r="E19" s="141"/>
      <c r="F19" s="142" t="s">
        <v>4</v>
      </c>
      <c r="G19" s="141"/>
    </row>
    <row r="20" spans="1:7" s="2" customFormat="1" ht="8.25" x14ac:dyDescent="0.15">
      <c r="A20" s="139"/>
      <c r="B20" s="14" t="s">
        <v>5</v>
      </c>
      <c r="C20" s="15" t="s">
        <v>6</v>
      </c>
      <c r="D20" s="16" t="s">
        <v>5</v>
      </c>
      <c r="E20" s="15" t="s">
        <v>6</v>
      </c>
      <c r="F20" s="16" t="s">
        <v>5</v>
      </c>
      <c r="G20" s="15" t="s">
        <v>6</v>
      </c>
    </row>
    <row r="21" spans="1:7" s="2" customFormat="1" ht="8.25" x14ac:dyDescent="0.15">
      <c r="A21" s="17" t="s">
        <v>33</v>
      </c>
      <c r="B21" s="18">
        <f>B16</f>
        <v>2953</v>
      </c>
      <c r="C21" s="19">
        <f>B21/B5</f>
        <v>0.30019314831757649</v>
      </c>
      <c r="D21" s="18">
        <f>D16</f>
        <v>1585</v>
      </c>
      <c r="E21" s="19">
        <f>D21/D5</f>
        <v>0.21983356449375868</v>
      </c>
      <c r="F21" s="18">
        <f>F16</f>
        <v>1984</v>
      </c>
      <c r="G21" s="19">
        <f>F21/F5</f>
        <v>0.24883983444123919</v>
      </c>
    </row>
    <row r="22" spans="1:7" s="2" customFormat="1" ht="8.25" x14ac:dyDescent="0.15">
      <c r="A22" s="20" t="s">
        <v>16</v>
      </c>
      <c r="B22" s="21"/>
      <c r="C22" s="19">
        <f>B22/B5</f>
        <v>0</v>
      </c>
      <c r="D22" s="21"/>
      <c r="E22" s="19">
        <f>D22/D5</f>
        <v>0</v>
      </c>
      <c r="F22" s="21"/>
      <c r="G22" s="19">
        <f>F22/F5</f>
        <v>0</v>
      </c>
    </row>
    <row r="23" spans="1:7" s="2" customFormat="1" ht="8.25" x14ac:dyDescent="0.15">
      <c r="A23" s="20" t="s">
        <v>17</v>
      </c>
      <c r="B23" s="21">
        <v>137</v>
      </c>
      <c r="C23" s="19">
        <f>B23/B5</f>
        <v>1.3927010267357934E-2</v>
      </c>
      <c r="D23" s="21">
        <v>138</v>
      </c>
      <c r="E23" s="19">
        <f>D23/D5</f>
        <v>1.914008321775312E-2</v>
      </c>
      <c r="F23" s="21">
        <v>139</v>
      </c>
      <c r="G23" s="19">
        <f>F23/F5</f>
        <v>1.7433839207324719E-2</v>
      </c>
    </row>
    <row r="24" spans="1:7" s="2" customFormat="1" ht="8.25" x14ac:dyDescent="0.15">
      <c r="A24" s="20" t="s">
        <v>18</v>
      </c>
      <c r="B24" s="21">
        <v>1080</v>
      </c>
      <c r="C24" s="19">
        <f>B24/B5</f>
        <v>0.10978956999085086</v>
      </c>
      <c r="D24" s="21">
        <v>1038</v>
      </c>
      <c r="E24" s="19">
        <f>D24/D5</f>
        <v>0.14396671289875174</v>
      </c>
      <c r="F24" s="21">
        <v>962</v>
      </c>
      <c r="G24" s="19">
        <f>F24/F5</f>
        <v>0.12065721811112505</v>
      </c>
    </row>
    <row r="25" spans="1:7" s="2" customFormat="1" ht="8.25" x14ac:dyDescent="0.15">
      <c r="A25" s="17" t="s">
        <v>34</v>
      </c>
      <c r="B25" s="18">
        <f>B21+B22-B23-B24</f>
        <v>1736</v>
      </c>
      <c r="C25" s="19">
        <f>B25/B5</f>
        <v>0.17647656805936771</v>
      </c>
      <c r="D25" s="18">
        <f>D21+D22-D23-D24</f>
        <v>409</v>
      </c>
      <c r="E25" s="19">
        <f>D25/D5</f>
        <v>5.6726768377253815E-2</v>
      </c>
      <c r="F25" s="18">
        <f>F21+F22-F23-F24</f>
        <v>883</v>
      </c>
      <c r="G25" s="19">
        <f>F25/F5</f>
        <v>0.11074877712278941</v>
      </c>
    </row>
    <row r="26" spans="1:7" s="2" customFormat="1" ht="8.25" x14ac:dyDescent="0.15">
      <c r="A26" s="20" t="s">
        <v>19</v>
      </c>
      <c r="B26" s="21"/>
      <c r="C26" s="19">
        <f>B26/B5</f>
        <v>0</v>
      </c>
      <c r="D26" s="21"/>
      <c r="E26" s="19">
        <f>D26/D5</f>
        <v>0</v>
      </c>
      <c r="F26" s="21"/>
      <c r="G26" s="19">
        <f>F26/F5</f>
        <v>0</v>
      </c>
    </row>
    <row r="27" spans="1:7" s="2" customFormat="1" ht="8.25" x14ac:dyDescent="0.15">
      <c r="A27" s="20" t="s">
        <v>20</v>
      </c>
      <c r="B27" s="21">
        <v>416</v>
      </c>
      <c r="C27" s="19">
        <f>B27/B5</f>
        <v>4.2289315848327742E-2</v>
      </c>
      <c r="D27" s="21"/>
      <c r="E27" s="19">
        <f>D27/D5</f>
        <v>0</v>
      </c>
      <c r="F27" s="21"/>
      <c r="G27" s="19">
        <f>F27/F5</f>
        <v>0</v>
      </c>
    </row>
    <row r="28" spans="1:7" s="2" customFormat="1" ht="8.25" x14ac:dyDescent="0.15">
      <c r="A28" s="20" t="s">
        <v>21</v>
      </c>
      <c r="B28" s="21">
        <v>416</v>
      </c>
      <c r="C28" s="19">
        <f>B28/B5</f>
        <v>4.2289315848327742E-2</v>
      </c>
      <c r="D28" s="21"/>
      <c r="E28" s="19">
        <f>D28/D5</f>
        <v>0</v>
      </c>
      <c r="F28" s="21"/>
      <c r="G28" s="19">
        <f>F28/F5</f>
        <v>0</v>
      </c>
    </row>
    <row r="29" spans="1:7" s="2" customFormat="1" ht="8.25" x14ac:dyDescent="0.15">
      <c r="A29" s="20" t="s">
        <v>22</v>
      </c>
      <c r="B29" s="21">
        <v>408</v>
      </c>
      <c r="C29" s="19">
        <f>B29/B5</f>
        <v>4.1476059774321443E-2</v>
      </c>
      <c r="D29" s="21">
        <v>46</v>
      </c>
      <c r="E29" s="19">
        <f>D29/D5</f>
        <v>6.3800277392510405E-3</v>
      </c>
      <c r="F29" s="21">
        <v>62</v>
      </c>
      <c r="G29" s="19">
        <f>F29/F5</f>
        <v>7.7762448262887248E-3</v>
      </c>
    </row>
    <row r="30" spans="1:7" s="2" customFormat="1" ht="8.25" x14ac:dyDescent="0.15">
      <c r="A30" s="17" t="s">
        <v>35</v>
      </c>
      <c r="B30" s="18">
        <f>B25+B26-B27+B28-B29</f>
        <v>1328</v>
      </c>
      <c r="C30" s="19">
        <f>B30/B5</f>
        <v>0.13500050828504626</v>
      </c>
      <c r="D30" s="18">
        <f>D25+D26-D27+D28-D29</f>
        <v>363</v>
      </c>
      <c r="E30" s="19">
        <f>D30/D5</f>
        <v>5.0346740638002777E-2</v>
      </c>
      <c r="F30" s="18">
        <f>F25+F26-F27+F28-F29</f>
        <v>821</v>
      </c>
      <c r="G30" s="19">
        <f>F30/F5</f>
        <v>0.10297253229650069</v>
      </c>
    </row>
    <row r="31" spans="1:7" s="2" customFormat="1" ht="8.25" x14ac:dyDescent="0.15">
      <c r="A31" s="20" t="s">
        <v>23</v>
      </c>
      <c r="B31" s="21">
        <v>62</v>
      </c>
      <c r="C31" s="19">
        <f>B31/B5</f>
        <v>6.3027345735488464E-3</v>
      </c>
      <c r="D31" s="21">
        <v>11</v>
      </c>
      <c r="E31" s="19">
        <f>D31/D5</f>
        <v>1.5256588072122053E-3</v>
      </c>
      <c r="F31" s="21">
        <f>62+12</f>
        <v>74</v>
      </c>
      <c r="G31" s="19">
        <f>F31/F5</f>
        <v>9.2813244700865414E-3</v>
      </c>
    </row>
    <row r="32" spans="1:7" s="2" customFormat="1" ht="8.25" x14ac:dyDescent="0.15">
      <c r="A32" s="20" t="s">
        <v>24</v>
      </c>
      <c r="B32" s="21">
        <v>317</v>
      </c>
      <c r="C32" s="19">
        <f>B32/B5</f>
        <v>3.2225271932499744E-2</v>
      </c>
      <c r="D32" s="21">
        <v>209</v>
      </c>
      <c r="E32" s="19">
        <f>D32/D5</f>
        <v>2.89875173370319E-2</v>
      </c>
      <c r="F32" s="21">
        <f>239+76+13</f>
        <v>328</v>
      </c>
      <c r="G32" s="19">
        <f>F32/F5</f>
        <v>4.1138843597140345E-2</v>
      </c>
    </row>
    <row r="33" spans="1:7" s="2" customFormat="1" ht="8.25" x14ac:dyDescent="0.15">
      <c r="A33" s="17" t="s">
        <v>36</v>
      </c>
      <c r="B33" s="18">
        <f>B31-B32</f>
        <v>-255</v>
      </c>
      <c r="C33" s="19">
        <f>B33/B5</f>
        <v>-2.5922537358950899E-2</v>
      </c>
      <c r="D33" s="18">
        <f>D31-D32</f>
        <v>-198</v>
      </c>
      <c r="E33" s="19">
        <f>D33/D5</f>
        <v>-2.7461858529819694E-2</v>
      </c>
      <c r="F33" s="18">
        <f>F31-F32</f>
        <v>-254</v>
      </c>
      <c r="G33" s="19">
        <f>F33/F5</f>
        <v>-3.1857519127053806E-2</v>
      </c>
    </row>
    <row r="34" spans="1:7" s="2" customFormat="1" ht="8.25" x14ac:dyDescent="0.15">
      <c r="A34" s="20" t="s">
        <v>25</v>
      </c>
      <c r="B34" s="21">
        <v>1</v>
      </c>
      <c r="C34" s="19">
        <f>B34/B5</f>
        <v>1.0165700925078785E-4</v>
      </c>
      <c r="D34" s="21">
        <v>5</v>
      </c>
      <c r="E34" s="19">
        <f>D34/D5</f>
        <v>6.9348127600554787E-4</v>
      </c>
      <c r="F34" s="21"/>
      <c r="G34" s="19">
        <f>F34/F5</f>
        <v>0</v>
      </c>
    </row>
    <row r="35" spans="1:7" s="2" customFormat="1" ht="8.25" x14ac:dyDescent="0.15">
      <c r="A35" s="20" t="s">
        <v>26</v>
      </c>
      <c r="B35" s="21">
        <v>61</v>
      </c>
      <c r="C35" s="19">
        <f>B35/B5</f>
        <v>6.2010775642980581E-3</v>
      </c>
      <c r="D35" s="21">
        <v>13</v>
      </c>
      <c r="E35" s="19">
        <f>D35/D5</f>
        <v>1.8030513176144243E-3</v>
      </c>
      <c r="F35" s="21">
        <v>2</v>
      </c>
      <c r="G35" s="19">
        <f>F35/F5</f>
        <v>2.508466072996363E-4</v>
      </c>
    </row>
    <row r="36" spans="1:7" s="2" customFormat="1" ht="8.25" x14ac:dyDescent="0.15">
      <c r="A36" s="17" t="s">
        <v>37</v>
      </c>
      <c r="B36" s="18">
        <f>B34-B35</f>
        <v>-60</v>
      </c>
      <c r="C36" s="19">
        <f>B36/B5</f>
        <v>-6.0994205550472707E-3</v>
      </c>
      <c r="D36" s="18">
        <f>D34-D35</f>
        <v>-8</v>
      </c>
      <c r="E36" s="19">
        <f>D36/D5</f>
        <v>-1.1095700416088765E-3</v>
      </c>
      <c r="F36" s="18">
        <f>F34-F35</f>
        <v>-2</v>
      </c>
      <c r="G36" s="19">
        <f>F36/F5</f>
        <v>-2.508466072996363E-4</v>
      </c>
    </row>
    <row r="37" spans="1:7" s="2" customFormat="1" ht="8.25" x14ac:dyDescent="0.15">
      <c r="A37" s="17" t="s">
        <v>38</v>
      </c>
      <c r="B37" s="18">
        <f>B30+B33+B36</f>
        <v>1013</v>
      </c>
      <c r="C37" s="19">
        <f>B37/B5</f>
        <v>0.10297855037104808</v>
      </c>
      <c r="D37" s="18">
        <f>D30+D33+D36</f>
        <v>157</v>
      </c>
      <c r="E37" s="19">
        <f>D37/D5</f>
        <v>2.1775312066574203E-2</v>
      </c>
      <c r="F37" s="18">
        <f>F30+F33+F36</f>
        <v>565</v>
      </c>
      <c r="G37" s="19">
        <f>F37/F5</f>
        <v>7.0864166562147252E-2</v>
      </c>
    </row>
    <row r="38" spans="1:7" s="2" customFormat="1" ht="8.25" x14ac:dyDescent="0.15">
      <c r="A38" s="20" t="s">
        <v>27</v>
      </c>
      <c r="B38" s="21">
        <v>320</v>
      </c>
      <c r="C38" s="19">
        <f>B38/B5</f>
        <v>3.2530242960252108E-2</v>
      </c>
      <c r="D38" s="21">
        <v>36</v>
      </c>
      <c r="E38" s="19">
        <f>D38/D5</f>
        <v>4.9930651872399446E-3</v>
      </c>
      <c r="F38" s="21">
        <v>108</v>
      </c>
      <c r="G38" s="19">
        <f>F38/F5</f>
        <v>1.3545716794180358E-2</v>
      </c>
    </row>
    <row r="39" spans="1:7" s="2" customFormat="1" ht="8.25" x14ac:dyDescent="0.15">
      <c r="A39" s="17" t="s">
        <v>39</v>
      </c>
      <c r="B39" s="18">
        <f>B37-B38</f>
        <v>693</v>
      </c>
      <c r="C39" s="19">
        <f>B39/B5</f>
        <v>7.0448307410795968E-2</v>
      </c>
      <c r="D39" s="18">
        <f>D37-D38</f>
        <v>121</v>
      </c>
      <c r="E39" s="19">
        <f>D39/D5</f>
        <v>1.6782246879334259E-2</v>
      </c>
      <c r="F39" s="18">
        <f>F37-F38</f>
        <v>457</v>
      </c>
      <c r="G39" s="19">
        <f>F39/F5</f>
        <v>5.7318449767966885E-2</v>
      </c>
    </row>
    <row r="40" spans="1:7" s="2" customFormat="1" ht="8.25" x14ac:dyDescent="0.15">
      <c r="A40" s="17" t="s">
        <v>40</v>
      </c>
      <c r="B40" s="18">
        <f>B39+B29</f>
        <v>1101</v>
      </c>
      <c r="C40" s="19">
        <f>B40/B5</f>
        <v>0.11192436718511742</v>
      </c>
      <c r="D40" s="18">
        <f>D39+D29</f>
        <v>167</v>
      </c>
      <c r="E40" s="19">
        <f>D40/D5</f>
        <v>2.3162274618585298E-2</v>
      </c>
      <c r="F40" s="18">
        <f>F39+F29</f>
        <v>519</v>
      </c>
      <c r="G40" s="19">
        <f>F40/F5</f>
        <v>6.5094694594255612E-2</v>
      </c>
    </row>
    <row r="41" spans="1:7" x14ac:dyDescent="0.2">
      <c r="A41" s="1"/>
      <c r="B41" s="1"/>
      <c r="C41" s="1"/>
      <c r="D41" s="1"/>
      <c r="E41" s="1"/>
      <c r="F41" s="1"/>
      <c r="G41" s="1"/>
    </row>
  </sheetData>
  <sheetProtection password="C656" sheet="1" objects="1" scenarios="1"/>
  <mergeCells count="11">
    <mergeCell ref="A1:D1"/>
    <mergeCell ref="A2:G2"/>
    <mergeCell ref="A3:A4"/>
    <mergeCell ref="B3:C3"/>
    <mergeCell ref="D3:E3"/>
    <mergeCell ref="F3:G3"/>
    <mergeCell ref="A18:G18"/>
    <mergeCell ref="A19:A20"/>
    <mergeCell ref="B19:C19"/>
    <mergeCell ref="D19:E19"/>
    <mergeCell ref="F19:G19"/>
  </mergeCells>
  <phoneticPr fontId="0" type="noConversion"/>
  <printOptions horizontalCentered="1" verticalCentered="1"/>
  <pageMargins left="0" right="0" top="0" bottom="0" header="0" footer="0"/>
  <pageSetup paperSize="9" scale="140" orientation="landscape" horizontalDpi="4294967294" vertic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6"/>
  <sheetViews>
    <sheetView zoomScale="115" zoomScaleNormal="115" workbookViewId="0">
      <selection activeCell="C16" sqref="C16"/>
    </sheetView>
  </sheetViews>
  <sheetFormatPr baseColWidth="10" defaultRowHeight="12.75" x14ac:dyDescent="0.2"/>
  <cols>
    <col min="1" max="1" width="42.85546875" customWidth="1"/>
    <col min="2" max="4" width="15.7109375" customWidth="1"/>
  </cols>
  <sheetData>
    <row r="1" spans="1:4" ht="15" x14ac:dyDescent="0.25">
      <c r="A1" s="22" t="s">
        <v>41</v>
      </c>
      <c r="B1" s="23"/>
      <c r="C1" s="23"/>
      <c r="D1" s="23"/>
    </row>
    <row r="2" spans="1:4" x14ac:dyDescent="0.2">
      <c r="A2" s="23"/>
      <c r="B2" s="23"/>
      <c r="C2" s="23"/>
      <c r="D2" s="23"/>
    </row>
    <row r="3" spans="1:4" x14ac:dyDescent="0.2">
      <c r="A3" s="24" t="s">
        <v>42</v>
      </c>
      <c r="B3" s="25" t="s">
        <v>2</v>
      </c>
      <c r="C3" s="25" t="s">
        <v>3</v>
      </c>
      <c r="D3" s="26" t="s">
        <v>4</v>
      </c>
    </row>
    <row r="4" spans="1:4" x14ac:dyDescent="0.2">
      <c r="A4" s="149" t="s">
        <v>43</v>
      </c>
      <c r="B4" s="150"/>
      <c r="C4" s="150"/>
      <c r="D4" s="151"/>
    </row>
    <row r="5" spans="1:4" x14ac:dyDescent="0.2">
      <c r="A5" s="95" t="s">
        <v>44</v>
      </c>
      <c r="B5" s="106">
        <f>BILAN!I14/BILAN!I9</f>
        <v>7.8165593584095791E-2</v>
      </c>
      <c r="C5" s="106">
        <f>BILAN!J14/BILAN!J9</f>
        <v>1.3481894150417827E-2</v>
      </c>
      <c r="D5" s="106">
        <f>BILAN!K14/BILAN!K9</f>
        <v>4.8452078032230707E-2</v>
      </c>
    </row>
    <row r="6" spans="1:4" ht="13.5" thickBot="1" x14ac:dyDescent="0.25">
      <c r="A6" s="99" t="s">
        <v>45</v>
      </c>
      <c r="B6" s="107">
        <f>ESG!B40/ESG!B5</f>
        <v>0.11192436718511742</v>
      </c>
      <c r="C6" s="107">
        <f>ESG!D40/ESG!D5</f>
        <v>2.3162274618585298E-2</v>
      </c>
      <c r="D6" s="107">
        <f>ESG!F40/ESG!F5</f>
        <v>6.5094694594255612E-2</v>
      </c>
    </row>
    <row r="7" spans="1:4" x14ac:dyDescent="0.2">
      <c r="A7" s="152" t="s">
        <v>46</v>
      </c>
      <c r="B7" s="153"/>
      <c r="C7" s="153"/>
      <c r="D7" s="154"/>
    </row>
    <row r="8" spans="1:4" x14ac:dyDescent="0.2">
      <c r="A8" s="96" t="s">
        <v>47</v>
      </c>
      <c r="B8" s="106">
        <f>BILAN!B27/BILAN!I27</f>
        <v>1.8880487804878048</v>
      </c>
      <c r="C8" s="106">
        <f>BILAN!C27/BILAN!J27</f>
        <v>2.4136273015128418</v>
      </c>
      <c r="D8" s="106">
        <f>BILAN!D27/BILAN!K27</f>
        <v>2.4574875958502482</v>
      </c>
    </row>
    <row r="9" spans="1:4" ht="13.5" thickBot="1" x14ac:dyDescent="0.25">
      <c r="A9" s="100" t="s">
        <v>48</v>
      </c>
      <c r="B9" s="107" t="e">
        <f>ESG!B40/BILAN!I18</f>
        <v>#DIV/0!</v>
      </c>
      <c r="C9" s="107" t="e">
        <f>ESG!D40/BILAN!J18</f>
        <v>#DIV/0!</v>
      </c>
      <c r="D9" s="107" t="e">
        <f>ESG!F40/BILAN!K17</f>
        <v>#DIV/0!</v>
      </c>
    </row>
    <row r="10" spans="1:4" x14ac:dyDescent="0.2">
      <c r="A10" s="152" t="s">
        <v>116</v>
      </c>
      <c r="B10" s="155"/>
      <c r="C10" s="155"/>
      <c r="D10" s="156"/>
    </row>
    <row r="11" spans="1:4" x14ac:dyDescent="0.2">
      <c r="A11" s="96" t="s">
        <v>49</v>
      </c>
      <c r="B11" s="108">
        <f>BILAN!B29/ESG!B5*360</f>
        <v>534.60201280878323</v>
      </c>
      <c r="C11" s="108">
        <f>BILAN!C29/ESG!D5*360</f>
        <v>741.61997226074891</v>
      </c>
      <c r="D11" s="108">
        <f>BILAN!D29/ESG!F5*360</f>
        <v>714.17534177850246</v>
      </c>
    </row>
    <row r="12" spans="1:4" x14ac:dyDescent="0.2">
      <c r="A12" s="96" t="s">
        <v>50</v>
      </c>
      <c r="B12" s="108">
        <f>BILAN!B30/ESG!B5*360</f>
        <v>301.37236962488561</v>
      </c>
      <c r="C12" s="108">
        <f>BILAN!C30/ESG!D5*(360)</f>
        <v>251.10124826629681</v>
      </c>
      <c r="D12" s="108">
        <f>BILAN!D30/ESG!F5*360</f>
        <v>239.75918725699236</v>
      </c>
    </row>
    <row r="13" spans="1:4" ht="13.5" thickBot="1" x14ac:dyDescent="0.25">
      <c r="A13" s="100" t="s">
        <v>51</v>
      </c>
      <c r="B13" s="109">
        <f>BILAN!I29/(ESG!B7+ESG!B13)*(360)</f>
        <v>241.54302670623144</v>
      </c>
      <c r="C13" s="109">
        <f>BILAN!J29/(ESG!D7+ESG!D13)*(360)</f>
        <v>229.58208265989379</v>
      </c>
      <c r="D13" s="109">
        <f>BILAN!K29/(ESG!F7+ESG!F13)*(360)</f>
        <v>311.33979813971899</v>
      </c>
    </row>
    <row r="14" spans="1:4" ht="13.5" thickBot="1" x14ac:dyDescent="0.25">
      <c r="A14" s="157" t="s">
        <v>52</v>
      </c>
      <c r="B14" s="158"/>
      <c r="C14" s="158"/>
      <c r="D14" s="159"/>
    </row>
    <row r="15" spans="1:4" x14ac:dyDescent="0.2">
      <c r="A15" s="103" t="s">
        <v>53</v>
      </c>
      <c r="B15" s="110">
        <f>BILAN!I34/ESG!B5</f>
        <v>0.23045643997153603</v>
      </c>
      <c r="C15" s="110">
        <f>BILAN!J34/ESG!D5</f>
        <v>0.43037447988904298</v>
      </c>
      <c r="D15" s="110">
        <f>BILAN!K34/ESG!F5</f>
        <v>0.4881474978050922</v>
      </c>
    </row>
    <row r="16" spans="1:4" x14ac:dyDescent="0.2">
      <c r="A16" s="96" t="s">
        <v>54</v>
      </c>
      <c r="B16" s="106">
        <f>(BILAN!I18+BILAN!I19)/BILAN!I9</f>
        <v>0</v>
      </c>
      <c r="C16" s="106">
        <f>(BILAN!J18+BILAN!J19)/BILAN!J9</f>
        <v>0</v>
      </c>
      <c r="D16" s="106">
        <f>(BILAN!K18+BILAN!K19)/BILAN!K9</f>
        <v>0</v>
      </c>
    </row>
    <row r="17" spans="1:4" ht="13.5" thickBot="1" x14ac:dyDescent="0.25">
      <c r="A17" s="100" t="s">
        <v>55</v>
      </c>
      <c r="B17" s="107">
        <f>ESG!B32/ESG!B5</f>
        <v>3.2225271932499744E-2</v>
      </c>
      <c r="C17" s="107">
        <f>ESG!D32/ESG!D5</f>
        <v>2.89875173370319E-2</v>
      </c>
      <c r="D17" s="107">
        <f>ESG!F32/ESG!F5</f>
        <v>4.1138843597140345E-2</v>
      </c>
    </row>
    <row r="18" spans="1:4" x14ac:dyDescent="0.2">
      <c r="A18" s="152" t="s">
        <v>56</v>
      </c>
      <c r="B18" s="153"/>
      <c r="C18" s="153"/>
      <c r="D18" s="154"/>
    </row>
    <row r="19" spans="1:4" x14ac:dyDescent="0.2">
      <c r="A19" s="101" t="s">
        <v>57</v>
      </c>
      <c r="B19" s="111">
        <f>BILAN!B39</f>
        <v>8826</v>
      </c>
      <c r="C19" s="102">
        <f>BILAN!C39</f>
        <v>8948</v>
      </c>
      <c r="D19" s="111">
        <f>BILAN!D39</f>
        <v>9405</v>
      </c>
    </row>
    <row r="20" spans="1:4" x14ac:dyDescent="0.2">
      <c r="A20" s="97" t="s">
        <v>58</v>
      </c>
      <c r="B20" s="108">
        <f>BILAN!I39</f>
        <v>8673</v>
      </c>
      <c r="C20" s="94">
        <f>BILAN!J39</f>
        <v>9019</v>
      </c>
      <c r="D20" s="108">
        <f>BILAN!K39</f>
        <v>9078</v>
      </c>
    </row>
    <row r="21" spans="1:4" x14ac:dyDescent="0.2">
      <c r="A21" s="97" t="s">
        <v>59</v>
      </c>
      <c r="B21" s="108">
        <f>BILAN!B27-BILAN!I27</f>
        <v>10923</v>
      </c>
      <c r="C21" s="94">
        <f>BILAN!C27-BILAN!J27</f>
        <v>12054</v>
      </c>
      <c r="D21" s="108">
        <f>BILAN!D27-BILAN!K27</f>
        <v>12925</v>
      </c>
    </row>
    <row r="22" spans="1:4" x14ac:dyDescent="0.2">
      <c r="A22" s="104" t="s">
        <v>60</v>
      </c>
      <c r="B22" s="112">
        <f>BILAN!B34-BILAN!I34</f>
        <v>-2250</v>
      </c>
      <c r="C22" s="105">
        <f>BILAN!C34-BILAN!J34</f>
        <v>-3035</v>
      </c>
      <c r="D22" s="112">
        <f>BILAN!D34-BILAN!K34</f>
        <v>-3847</v>
      </c>
    </row>
    <row r="23" spans="1:4" x14ac:dyDescent="0.2">
      <c r="A23" s="97" t="s">
        <v>61</v>
      </c>
      <c r="B23" s="106">
        <f>B20/B21</f>
        <v>0.794012633891788</v>
      </c>
      <c r="C23" s="114">
        <f>C20/C21</f>
        <v>0.74821635971461753</v>
      </c>
      <c r="D23" s="106">
        <f>D20/D21</f>
        <v>0.70235976789168275</v>
      </c>
    </row>
    <row r="24" spans="1:4" x14ac:dyDescent="0.2">
      <c r="A24" s="97" t="s">
        <v>62</v>
      </c>
      <c r="B24" s="108">
        <f>(RATIOS!B20/ESG!B5)*360</f>
        <v>317.40164684354988</v>
      </c>
      <c r="C24" s="94">
        <f>(C20/ESG!D5)*360</f>
        <v>450.32454923717057</v>
      </c>
      <c r="D24" s="108">
        <f>(D20/ESG!F5)*360</f>
        <v>409.89339019189765</v>
      </c>
    </row>
    <row r="25" spans="1:4" x14ac:dyDescent="0.2">
      <c r="A25" s="97" t="s">
        <v>63</v>
      </c>
      <c r="B25" s="108">
        <f>(RATIOS!B21/ESG!B5)*360</f>
        <v>399.74382433668802</v>
      </c>
      <c r="C25" s="94">
        <f>(C21/ESG!D5)*360</f>
        <v>601.86407766990294</v>
      </c>
      <c r="D25" s="108">
        <f>(D21/ESG!F5)*360</f>
        <v>583.59463188260384</v>
      </c>
    </row>
    <row r="26" spans="1:4" ht="13.5" thickBot="1" x14ac:dyDescent="0.25">
      <c r="A26" s="98" t="s">
        <v>64</v>
      </c>
      <c r="B26" s="109">
        <f>(B22/ESG!B5)*360</f>
        <v>-82.342177493138152</v>
      </c>
      <c r="C26" s="113">
        <f>(C22/ESG!D5)*360</f>
        <v>-151.53952843273231</v>
      </c>
      <c r="D26" s="109">
        <f>(D22/ESG!F5)*360</f>
        <v>-173.70124169070613</v>
      </c>
    </row>
  </sheetData>
  <sheetProtection password="C656" sheet="1" objects="1" scenarios="1"/>
  <mergeCells count="5">
    <mergeCell ref="A4:D4"/>
    <mergeCell ref="A18:D18"/>
    <mergeCell ref="A7:D7"/>
    <mergeCell ref="A10:D10"/>
    <mergeCell ref="A14:D14"/>
  </mergeCells>
  <phoneticPr fontId="0" type="noConversion"/>
  <printOptions horizontalCentered="1" verticalCentered="1"/>
  <pageMargins left="0" right="0" top="0" bottom="0" header="0" footer="0"/>
  <pageSetup paperSize="9" scale="145" orientation="landscape" horizontalDpi="4294967294" vertic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BILAN</vt:lpstr>
      <vt:lpstr>ESG</vt:lpstr>
      <vt:lpstr>RATIOS</vt:lpstr>
    </vt:vector>
  </TitlesOfParts>
  <Company>BCP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U05207</dc:creator>
  <cp:lastModifiedBy>Lenovo</cp:lastModifiedBy>
  <cp:lastPrinted>2016-04-29T07:37:08Z</cp:lastPrinted>
  <dcterms:created xsi:type="dcterms:W3CDTF">2003-09-22T15:31:25Z</dcterms:created>
  <dcterms:modified xsi:type="dcterms:W3CDTF">2018-04-26T14:37:47Z</dcterms:modified>
</cp:coreProperties>
</file>